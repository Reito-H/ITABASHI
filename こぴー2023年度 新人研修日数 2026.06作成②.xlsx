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dc612sv04\部署\タクシー\T2_板橋営業所\◆00総合\◆04教育\◆01新人教育\◆01スケジュール\"/>
    </mc:Choice>
  </mc:AlternateContent>
  <xr:revisionPtr revIDLastSave="0" documentId="13_ncr:1_{EF0A3CD7-D65B-47DC-87B2-35B1A43B5751}" xr6:coauthVersionLast="47" xr6:coauthVersionMax="47" xr10:uidLastSave="{00000000-0000-0000-0000-000000000000}"/>
  <bookViews>
    <workbookView xWindow="-108" yWindow="-108" windowWidth="23256" windowHeight="13896" firstSheet="1" activeTab="3" xr2:uid="{BA86C778-29C2-4F49-917B-0A69BEEF2368}"/>
  </bookViews>
  <sheets>
    <sheet name="2026.03月度" sheetId="61" r:id="rId1"/>
    <sheet name="2026.04月度" sheetId="62" r:id="rId2"/>
    <sheet name="2026.05月度" sheetId="64" r:id="rId3"/>
    <sheet name="2026.06月度" sheetId="65" r:id="rId4"/>
    <sheet name="2026.07月度" sheetId="66" r:id="rId5"/>
    <sheet name="Sheet1" sheetId="41" r:id="rId6"/>
  </sheets>
  <definedNames>
    <definedName name="_xlnm.Print_Area" localSheetId="0">'2026.03月度'!$A$1:$AQ$77</definedName>
    <definedName name="_xlnm.Print_Area" localSheetId="1">'2026.04月度'!$A$1:$AQ$73</definedName>
    <definedName name="_xlnm.Print_Area" localSheetId="2">'2026.05月度'!$A:$AT</definedName>
    <definedName name="_xlnm.Print_Area" localSheetId="3">'2026.06月度'!$A$1:$AR$119</definedName>
    <definedName name="_xlnm.Print_Area" localSheetId="4">'2026.07月度'!$A$1:$AQ$69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0" i="65" l="1"/>
  <c r="AR102" i="65"/>
  <c r="E104" i="65"/>
  <c r="D104" i="65"/>
  <c r="E103" i="65"/>
  <c r="D103" i="65"/>
  <c r="AT105" i="65"/>
  <c r="AS100" i="65"/>
  <c r="AR100" i="65"/>
  <c r="AQ100" i="65"/>
  <c r="AP100" i="65"/>
  <c r="AO100" i="65"/>
  <c r="AN100" i="65"/>
  <c r="AM100" i="65"/>
  <c r="AL100" i="65"/>
  <c r="AK100" i="65"/>
  <c r="AJ100" i="65"/>
  <c r="AI100" i="65"/>
  <c r="AH100" i="65"/>
  <c r="AG100" i="65"/>
  <c r="AF100" i="65"/>
  <c r="AD100" i="65"/>
  <c r="AC100" i="65"/>
  <c r="AB100" i="65"/>
  <c r="AA100" i="65"/>
  <c r="Z100" i="65"/>
  <c r="Y100" i="65"/>
  <c r="X100" i="65"/>
  <c r="W100" i="65"/>
  <c r="V100" i="65"/>
  <c r="U100" i="65"/>
  <c r="T100" i="65"/>
  <c r="S100" i="65"/>
  <c r="R100" i="65"/>
  <c r="Q100" i="65"/>
  <c r="P100" i="65"/>
  <c r="O100" i="65"/>
  <c r="N100" i="65"/>
  <c r="J100" i="65"/>
  <c r="M100" i="65"/>
  <c r="F103" i="65" l="1"/>
  <c r="F104" i="65"/>
  <c r="AP92" i="64"/>
  <c r="AQ92" i="64" s="1"/>
  <c r="AR92" i="64" s="1"/>
  <c r="AS92" i="64" s="1"/>
  <c r="AP4" i="64"/>
  <c r="AQ4" i="64" s="1"/>
  <c r="AR4" i="64" s="1"/>
  <c r="AS4" i="64" s="1"/>
  <c r="AA58" i="66"/>
  <c r="AB58" i="66"/>
  <c r="AC58" i="66"/>
  <c r="AD58" i="66"/>
  <c r="AE58" i="66"/>
  <c r="AF58" i="66"/>
  <c r="AG58" i="66"/>
  <c r="AH58" i="66"/>
  <c r="AI58" i="66"/>
  <c r="AJ58" i="66"/>
  <c r="AK58" i="66"/>
  <c r="AL58" i="66"/>
  <c r="AM58" i="66"/>
  <c r="AN58" i="66"/>
  <c r="AO58" i="66"/>
  <c r="AP58" i="66"/>
  <c r="AQ58" i="66"/>
  <c r="AR58" i="66"/>
  <c r="Z58" i="66"/>
  <c r="K58" i="66"/>
  <c r="L58" i="66"/>
  <c r="M58" i="66"/>
  <c r="N58" i="66"/>
  <c r="O58" i="66"/>
  <c r="P58" i="66"/>
  <c r="Q58" i="66"/>
  <c r="R58" i="66"/>
  <c r="S58" i="66"/>
  <c r="T58" i="66"/>
  <c r="U58" i="66"/>
  <c r="V58" i="66"/>
  <c r="W58" i="66"/>
  <c r="X58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Q50" i="66"/>
  <c r="AP50" i="66"/>
  <c r="AO50" i="66"/>
  <c r="AM50" i="66"/>
  <c r="AL50" i="66"/>
  <c r="AK50" i="66"/>
  <c r="AJ50" i="66"/>
  <c r="AI50" i="66"/>
  <c r="AH50" i="66"/>
  <c r="AG50" i="66"/>
  <c r="AF50" i="66"/>
  <c r="AE50" i="66"/>
  <c r="AD50" i="66"/>
  <c r="AC50" i="66"/>
  <c r="AB50" i="66"/>
  <c r="AA50" i="66"/>
  <c r="Z50" i="66"/>
  <c r="Y50" i="66"/>
  <c r="X50" i="66"/>
  <c r="W50" i="66"/>
  <c r="V50" i="66"/>
  <c r="U50" i="66"/>
  <c r="T50" i="66"/>
  <c r="S50" i="66"/>
  <c r="R50" i="66"/>
  <c r="Q50" i="66"/>
  <c r="P50" i="66"/>
  <c r="O50" i="66"/>
  <c r="N50" i="66"/>
  <c r="M50" i="66"/>
  <c r="L50" i="66"/>
  <c r="J50" i="66"/>
  <c r="K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AQ3" i="66"/>
  <c r="AP3" i="66"/>
  <c r="AO3" i="66"/>
  <c r="AN3" i="66"/>
  <c r="AM3" i="66"/>
  <c r="AL3" i="66"/>
  <c r="AK3" i="66"/>
  <c r="AJ3" i="66"/>
  <c r="AI3" i="66"/>
  <c r="AH3" i="66"/>
  <c r="AG3" i="66"/>
  <c r="AF3" i="66"/>
  <c r="AE3" i="66"/>
  <c r="AD3" i="66"/>
  <c r="AC3" i="66"/>
  <c r="AB3" i="66"/>
  <c r="AA3" i="66"/>
  <c r="Z3" i="66"/>
  <c r="Y3" i="66"/>
  <c r="X3" i="66"/>
  <c r="W3" i="66"/>
  <c r="V3" i="66"/>
  <c r="U3" i="66"/>
  <c r="T3" i="66"/>
  <c r="S3" i="66"/>
  <c r="R3" i="66"/>
  <c r="Q3" i="66"/>
  <c r="P3" i="66"/>
  <c r="O3" i="66"/>
  <c r="N3" i="66"/>
  <c r="M3" i="66"/>
  <c r="L3" i="66"/>
  <c r="J3" i="66"/>
  <c r="AO2" i="66"/>
  <c r="AB106" i="65"/>
  <c r="AC106" i="65" s="1"/>
  <c r="AD106" i="65" s="1"/>
  <c r="AE106" i="65" s="1"/>
  <c r="AF106" i="65" s="1"/>
  <c r="AG106" i="65" s="1"/>
  <c r="AH106" i="65" s="1"/>
  <c r="AI106" i="65" s="1"/>
  <c r="AJ106" i="65" s="1"/>
  <c r="AK106" i="65" s="1"/>
  <c r="AL106" i="65" s="1"/>
  <c r="AM106" i="65" s="1"/>
  <c r="AN106" i="65" s="1"/>
  <c r="AO106" i="65" s="1"/>
  <c r="AP106" i="65" s="1"/>
  <c r="AQ106" i="65" s="1"/>
  <c r="AR106" i="65" s="1"/>
  <c r="AS106" i="65" s="1"/>
  <c r="L106" i="65"/>
  <c r="M106" i="65" s="1"/>
  <c r="N106" i="65" s="1"/>
  <c r="O106" i="65" s="1"/>
  <c r="P106" i="65" s="1"/>
  <c r="Q106" i="65" s="1"/>
  <c r="L4" i="65"/>
  <c r="M4" i="65" s="1"/>
  <c r="N4" i="65" s="1"/>
  <c r="O4" i="65" s="1"/>
  <c r="P4" i="65" s="1"/>
  <c r="Q4" i="65" s="1"/>
  <c r="R4" i="65" s="1"/>
  <c r="S4" i="65" s="1"/>
  <c r="T4" i="65" s="1"/>
  <c r="U4" i="65" s="1"/>
  <c r="V4" i="65" s="1"/>
  <c r="W4" i="65" s="1"/>
  <c r="X4" i="65" s="1"/>
  <c r="Y4" i="65" s="1"/>
  <c r="Z4" i="65" s="1"/>
  <c r="AB4" i="65"/>
  <c r="AC4" i="65" s="1"/>
  <c r="AD4" i="65" s="1"/>
  <c r="AE4" i="65" s="1"/>
  <c r="AF4" i="65" s="1"/>
  <c r="AG4" i="65" s="1"/>
  <c r="AH4" i="65" s="1"/>
  <c r="AI4" i="65" s="1"/>
  <c r="AJ4" i="65" s="1"/>
  <c r="AK4" i="65" s="1"/>
  <c r="AL4" i="65" s="1"/>
  <c r="AM4" i="65" s="1"/>
  <c r="AN4" i="65" s="1"/>
  <c r="AO4" i="65" s="1"/>
  <c r="AP4" i="65" s="1"/>
  <c r="AQ4" i="65" s="1"/>
  <c r="AR4" i="65" s="1"/>
  <c r="AS4" i="65" s="1"/>
  <c r="AR3" i="65"/>
  <c r="AQ3" i="65"/>
  <c r="AP3" i="65"/>
  <c r="AO3" i="65"/>
  <c r="AN3" i="65"/>
  <c r="AM3" i="65"/>
  <c r="AL3" i="65"/>
  <c r="AK3" i="65"/>
  <c r="AJ3" i="65"/>
  <c r="AI3" i="65"/>
  <c r="AH3" i="65"/>
  <c r="AG3" i="65"/>
  <c r="AF3" i="65"/>
  <c r="AE3" i="65"/>
  <c r="AD3" i="65"/>
  <c r="AC3" i="65"/>
  <c r="AB3" i="65"/>
  <c r="AA3" i="65"/>
  <c r="Z3" i="65"/>
  <c r="Y3" i="65"/>
  <c r="X3" i="65"/>
  <c r="W3" i="65"/>
  <c r="V3" i="65"/>
  <c r="U3" i="65"/>
  <c r="S3" i="65"/>
  <c r="R3" i="65"/>
  <c r="Q3" i="65"/>
  <c r="M3" i="65"/>
  <c r="K3" i="65"/>
  <c r="AP2" i="65"/>
  <c r="AR4" i="61"/>
  <c r="Z92" i="64"/>
  <c r="AA92" i="64"/>
  <c r="AB92" i="64"/>
  <c r="AC92" i="64"/>
  <c r="AD92" i="64"/>
  <c r="AE92" i="64"/>
  <c r="AF92" i="64"/>
  <c r="AG92" i="64"/>
  <c r="AH92" i="64"/>
  <c r="AI92" i="64"/>
  <c r="AJ92" i="64"/>
  <c r="AK92" i="64"/>
  <c r="AL92" i="64"/>
  <c r="AM92" i="64"/>
  <c r="AN92" i="64"/>
  <c r="AO92" i="64"/>
  <c r="K92" i="64"/>
  <c r="L92" i="64"/>
  <c r="M92" i="64"/>
  <c r="N92" i="64"/>
  <c r="O92" i="64"/>
  <c r="P92" i="64"/>
  <c r="Q92" i="64"/>
  <c r="R92" i="64"/>
  <c r="S92" i="64"/>
  <c r="T92" i="64"/>
  <c r="U92" i="64"/>
  <c r="V92" i="64"/>
  <c r="W92" i="64"/>
  <c r="X92" i="64"/>
  <c r="Z4" i="64"/>
  <c r="AA4" i="64"/>
  <c r="AB4" i="64"/>
  <c r="AC4" i="64"/>
  <c r="AD4" i="64"/>
  <c r="AE4" i="64"/>
  <c r="AF4" i="64"/>
  <c r="AG4" i="64"/>
  <c r="AH4" i="64"/>
  <c r="AI4" i="64"/>
  <c r="AJ4" i="64"/>
  <c r="AK4" i="64"/>
  <c r="AL4" i="64"/>
  <c r="AM4" i="64"/>
  <c r="AN4" i="64"/>
  <c r="K4" i="64"/>
  <c r="L4" i="64"/>
  <c r="M4" i="64"/>
  <c r="N4" i="64"/>
  <c r="O4" i="64"/>
  <c r="P4" i="64"/>
  <c r="Q4" i="64"/>
  <c r="R4" i="64"/>
  <c r="S4" i="64"/>
  <c r="T4" i="64"/>
  <c r="U4" i="64"/>
  <c r="V4" i="64"/>
  <c r="W4" i="64"/>
  <c r="X4" i="64"/>
  <c r="U84" i="64"/>
  <c r="T84" i="64"/>
  <c r="S84" i="64"/>
  <c r="R84" i="64"/>
  <c r="Q84" i="64"/>
  <c r="P84" i="64"/>
  <c r="O84" i="64"/>
  <c r="N84" i="64"/>
  <c r="M84" i="64"/>
  <c r="L84" i="64"/>
  <c r="J84" i="64"/>
  <c r="U3" i="64"/>
  <c r="T3" i="64"/>
  <c r="S3" i="64"/>
  <c r="R3" i="64"/>
  <c r="Q3" i="64"/>
  <c r="P3" i="64"/>
  <c r="O3" i="64"/>
  <c r="N3" i="64"/>
  <c r="M3" i="64"/>
  <c r="L3" i="64"/>
  <c r="J3" i="64"/>
  <c r="AO2" i="64"/>
  <c r="AA62" i="62"/>
  <c r="AB62" i="62"/>
  <c r="AC62" i="62"/>
  <c r="AD62" i="62"/>
  <c r="AE62" i="62"/>
  <c r="AF62" i="62"/>
  <c r="AG62" i="62"/>
  <c r="AH62" i="62"/>
  <c r="AI62" i="62"/>
  <c r="AJ62" i="62"/>
  <c r="AK62" i="62"/>
  <c r="AL62" i="62"/>
  <c r="AM62" i="62"/>
  <c r="AN62" i="62"/>
  <c r="AO62" i="62"/>
  <c r="AP62" i="62"/>
  <c r="AQ62" i="62"/>
  <c r="AR62" i="62"/>
  <c r="AS62" i="62"/>
  <c r="K62" i="62"/>
  <c r="L62" i="62"/>
  <c r="M62" i="62"/>
  <c r="N62" i="62"/>
  <c r="O62" i="62"/>
  <c r="P62" i="62"/>
  <c r="Q62" i="62"/>
  <c r="R62" i="62"/>
  <c r="S62" i="62"/>
  <c r="T62" i="62"/>
  <c r="U62" i="62"/>
  <c r="V62" i="62"/>
  <c r="W62" i="62"/>
  <c r="X62" i="62"/>
  <c r="Y62" i="62"/>
  <c r="K4" i="62"/>
  <c r="L4" i="62"/>
  <c r="M4" i="62"/>
  <c r="N4" i="62"/>
  <c r="O4" i="62"/>
  <c r="P4" i="62"/>
  <c r="Q4" i="62"/>
  <c r="R4" i="62"/>
  <c r="S4" i="62"/>
  <c r="T4" i="62"/>
  <c r="U4" i="62"/>
  <c r="V4" i="62"/>
  <c r="W4" i="62"/>
  <c r="X4" i="62"/>
  <c r="Y4" i="62"/>
  <c r="AS54" i="62"/>
  <c r="AQ54" i="62"/>
  <c r="AP54" i="62"/>
  <c r="AO54" i="62"/>
  <c r="AM54" i="62"/>
  <c r="AL54" i="62"/>
  <c r="AK54" i="62"/>
  <c r="AJ54" i="62"/>
  <c r="AI54" i="62"/>
  <c r="AH54" i="62"/>
  <c r="AG54" i="62"/>
  <c r="AF54" i="62"/>
  <c r="AE54" i="62"/>
  <c r="AD54" i="62"/>
  <c r="AC54" i="62"/>
  <c r="AB54" i="62"/>
  <c r="AA54" i="62"/>
  <c r="Z54" i="62"/>
  <c r="Y54" i="62"/>
  <c r="X54" i="62"/>
  <c r="W54" i="62"/>
  <c r="V54" i="62"/>
  <c r="U54" i="62"/>
  <c r="T54" i="62"/>
  <c r="S54" i="62"/>
  <c r="R54" i="62"/>
  <c r="Q54" i="62"/>
  <c r="P54" i="62"/>
  <c r="O54" i="62"/>
  <c r="N54" i="62"/>
  <c r="M54" i="62"/>
  <c r="L54" i="62"/>
  <c r="J54" i="62"/>
  <c r="AA4" i="62"/>
  <c r="AB4" i="62"/>
  <c r="AC4" i="62"/>
  <c r="AD4" i="62"/>
  <c r="AE4" i="62"/>
  <c r="AF4" i="62"/>
  <c r="AG4" i="62"/>
  <c r="AH4" i="62"/>
  <c r="AI4" i="62"/>
  <c r="AJ4" i="62"/>
  <c r="AK4" i="62"/>
  <c r="AL4" i="62"/>
  <c r="AM4" i="62"/>
  <c r="AN4" i="62"/>
  <c r="AO4" i="62"/>
  <c r="AP4" i="62"/>
  <c r="AQ4" i="62"/>
  <c r="AR4" i="62"/>
  <c r="AS4" i="62"/>
  <c r="AQ3" i="62"/>
  <c r="AP3" i="62"/>
  <c r="AO3" i="62"/>
  <c r="AN3" i="62"/>
  <c r="AM3" i="62"/>
  <c r="AL3" i="62"/>
  <c r="AK3" i="62"/>
  <c r="AJ3" i="62"/>
  <c r="AI3" i="62"/>
  <c r="AH3" i="62"/>
  <c r="AG3" i="62"/>
  <c r="AF3" i="62"/>
  <c r="AE3" i="62"/>
  <c r="AD3" i="62"/>
  <c r="AC3" i="62"/>
  <c r="AB3" i="62"/>
  <c r="AA3" i="62"/>
  <c r="Z3" i="62"/>
  <c r="Y3" i="62"/>
  <c r="X3" i="62"/>
  <c r="W3" i="62"/>
  <c r="V3" i="62"/>
  <c r="U3" i="62"/>
  <c r="T3" i="62"/>
  <c r="S3" i="62"/>
  <c r="R3" i="62"/>
  <c r="Q3" i="62"/>
  <c r="P3" i="62"/>
  <c r="O3" i="62"/>
  <c r="N3" i="62"/>
  <c r="M3" i="62"/>
  <c r="L3" i="62"/>
  <c r="J3" i="62"/>
  <c r="AO2" i="62"/>
  <c r="Z66" i="61"/>
  <c r="K66" i="61"/>
  <c r="L66" i="61"/>
  <c r="M66" i="61"/>
  <c r="N66" i="61"/>
  <c r="O66" i="61"/>
  <c r="P66" i="61"/>
  <c r="Q66" i="61"/>
  <c r="R66" i="61"/>
  <c r="S66" i="61"/>
  <c r="T66" i="61"/>
  <c r="U66" i="61"/>
  <c r="V66" i="61"/>
  <c r="W66" i="61"/>
  <c r="X66" i="61"/>
  <c r="AR58" i="61"/>
  <c r="AQ58" i="61"/>
  <c r="AP58" i="61"/>
  <c r="AO58" i="61"/>
  <c r="AM58" i="61"/>
  <c r="AL58" i="61"/>
  <c r="AK58" i="61"/>
  <c r="AJ58" i="61"/>
  <c r="AI58" i="61"/>
  <c r="AH58" i="61"/>
  <c r="AG58" i="61"/>
  <c r="AF58" i="61"/>
  <c r="AE58" i="61"/>
  <c r="AD58" i="61"/>
  <c r="AC58" i="61"/>
  <c r="AB58" i="61"/>
  <c r="AA58" i="61"/>
  <c r="Z58" i="61"/>
  <c r="Y58" i="61"/>
  <c r="X58" i="61"/>
  <c r="W58" i="61"/>
  <c r="V58" i="61"/>
  <c r="U58" i="61"/>
  <c r="T58" i="61"/>
  <c r="S58" i="61"/>
  <c r="R58" i="61"/>
  <c r="Q58" i="61"/>
  <c r="P58" i="61"/>
  <c r="O58" i="61"/>
  <c r="N58" i="61"/>
  <c r="M58" i="61"/>
  <c r="L58" i="61"/>
  <c r="J58" i="61"/>
  <c r="K4" i="61"/>
  <c r="L4" i="61"/>
  <c r="M4" i="61"/>
  <c r="N4" i="61"/>
  <c r="O4" i="61"/>
  <c r="P4" i="61"/>
  <c r="Q4" i="61"/>
  <c r="R4" i="61"/>
  <c r="S4" i="61"/>
  <c r="T4" i="61"/>
  <c r="U4" i="61"/>
  <c r="V4" i="61"/>
  <c r="W4" i="61"/>
  <c r="X4" i="61"/>
  <c r="Z4" i="61"/>
  <c r="AA4" i="61"/>
  <c r="AB4" i="61"/>
  <c r="AC4" i="61"/>
  <c r="AD4" i="61"/>
  <c r="AE4" i="61"/>
  <c r="AF4" i="61"/>
  <c r="AG4" i="61"/>
  <c r="AH4" i="61"/>
  <c r="AI4" i="61"/>
  <c r="AJ4" i="61"/>
  <c r="AK4" i="61"/>
  <c r="AL4" i="61"/>
  <c r="AM4" i="61"/>
  <c r="AN4" i="61"/>
  <c r="AO4" i="61"/>
  <c r="AP4" i="61"/>
  <c r="AQ4" i="61"/>
  <c r="AQ3" i="61"/>
  <c r="AP3" i="61"/>
  <c r="AO3" i="61"/>
  <c r="AN3" i="61"/>
  <c r="AM3" i="61"/>
  <c r="AL3" i="61"/>
  <c r="AK3" i="61"/>
  <c r="AJ3" i="61"/>
  <c r="AI3" i="61"/>
  <c r="AH3" i="61"/>
  <c r="AG3" i="61"/>
  <c r="AF3" i="61"/>
  <c r="AE3" i="61"/>
  <c r="AD3" i="61"/>
  <c r="AC3" i="61"/>
  <c r="AB3" i="61"/>
  <c r="AA3" i="61"/>
  <c r="Z3" i="61"/>
  <c r="Y3" i="61"/>
  <c r="X3" i="61"/>
  <c r="W3" i="61"/>
  <c r="V3" i="61"/>
  <c r="U3" i="61"/>
  <c r="T3" i="61"/>
  <c r="S3" i="61"/>
  <c r="R3" i="61"/>
  <c r="Q3" i="61"/>
  <c r="P3" i="61"/>
  <c r="O3" i="61"/>
  <c r="N3" i="61"/>
  <c r="M3" i="61"/>
  <c r="L3" i="61"/>
  <c r="J3" i="61"/>
  <c r="AO2" i="61"/>
  <c r="AA66" i="61"/>
  <c r="AB66" i="61"/>
  <c r="AC66" i="61"/>
  <c r="AD66" i="61"/>
  <c r="AE66" i="61"/>
  <c r="AF66" i="61"/>
  <c r="AG66" i="61"/>
  <c r="AH66" i="61"/>
  <c r="AI66" i="61"/>
  <c r="AJ66" i="61"/>
  <c r="AK66" i="61"/>
  <c r="AL66" i="61"/>
  <c r="AM66" i="61"/>
  <c r="AN66" i="61"/>
  <c r="AO66" i="61"/>
  <c r="AP66" i="61"/>
  <c r="AQ66" i="61"/>
  <c r="AR66" i="61"/>
  <c r="AO4" i="64"/>
  <c r="F105" i="65" l="1"/>
  <c r="R106" i="65"/>
  <c r="S106" i="65" s="1"/>
  <c r="T106" i="65" s="1"/>
  <c r="U106" i="65" s="1"/>
  <c r="V106" i="65" s="1"/>
  <c r="W106" i="65" l="1"/>
  <c r="X106" i="65" s="1"/>
  <c r="Y106" i="65" s="1"/>
  <c r="Z10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国際自動車株式会社(城北) 板橋営業所 秋葉亮</author>
    <author>秋葉亮 板橋営業所 国際自動車株式会社(T2)</author>
    <author>高橋洋平 板橋営業所 国際自動車株式会社(T2)</author>
    <author>国際自動車株式会社(城北) 板橋営業所 石井元行</author>
    <author>近藤共朗 板橋営業所 国際自動車株式会社(T2)</author>
  </authors>
  <commentList>
    <comment ref="K8" authorId="0" shapeId="0" xr:uid="{6CD396C8-2064-41AE-823A-51F4C78E55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8" authorId="0" shapeId="0" xr:uid="{32103572-8C90-45AE-9866-DA4DCC093D5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8" authorId="0" shapeId="0" xr:uid="{D8C102F9-B5F6-40C7-AD00-0764C40DE3A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9" authorId="0" shapeId="0" xr:uid="{1853F24A-6F1B-4F66-8525-791DAB38C9A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9" authorId="0" shapeId="0" xr:uid="{074537B7-70F0-497A-969D-C533EB8C6A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9" authorId="0" shapeId="0" xr:uid="{F1B182D3-E266-4185-9FC8-63F48F3BDAC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9" authorId="0" shapeId="0" xr:uid="{2624677D-CCF1-4122-8BFC-26AA361422B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14" authorId="0" shapeId="0" xr:uid="{FA7FD7E4-6547-477A-B123-0166F079DC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15" authorId="0" shapeId="0" xr:uid="{4D71F259-B058-4F29-B7F8-DBA20F61F89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5" authorId="0" shapeId="0" xr:uid="{F3C8B8EC-18E2-4D84-8416-5A2549A977A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18" authorId="0" shapeId="0" xr:uid="{C85CE548-3522-438E-A798-965AD85F9DD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18" authorId="0" shapeId="0" xr:uid="{D70DE90F-C1FD-4E2D-9E99-1CFA42C426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18" authorId="0" shapeId="0" xr:uid="{61D22C5E-DED3-4F94-8806-30EC0E09076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8" authorId="0" shapeId="0" xr:uid="{A8D876EF-01C0-427E-8CC1-E147A31017E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8" authorId="1" shapeId="0" xr:uid="{AE367F3E-CE7C-41D5-8D5C-20E6D4FE5086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L19" authorId="0" shapeId="0" xr:uid="{DD323D94-6A97-4ECF-B35E-6D1346F6E6E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M19" authorId="1" shapeId="0" xr:uid="{5AF8FC7F-56AD-4886-9905-3950297A687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19" authorId="0" shapeId="0" xr:uid="{FA028A8C-1CB5-489E-A4DF-BBD19B808A8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19" authorId="0" shapeId="0" xr:uid="{D1BF7679-DA65-4B6C-9A3E-4DAAD5DCD770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19" authorId="0" shapeId="0" xr:uid="{FAF6369C-CF3F-41AB-BD4C-22FAC53FB7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9" authorId="0" shapeId="0" xr:uid="{9A7F81EC-E4A1-4FD4-BD8E-49D4CD746D4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19" authorId="0" shapeId="0" xr:uid="{CC0A5F3E-7D88-463F-B009-588E21A91C6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20" authorId="1" shapeId="0" xr:uid="{85F790CF-72D0-4C2D-9B19-2D4109E125E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J21" authorId="0" shapeId="0" xr:uid="{F775CFB0-3F77-482B-B87F-2144A322BCB3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21" authorId="0" shapeId="0" xr:uid="{B9ED5FC0-F180-4557-AE8F-7C06B04EBBA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22" authorId="0" shapeId="0" xr:uid="{B10BCF8F-C313-41D6-821A-4B8CBABEFBB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2" authorId="0" shapeId="0" xr:uid="{A205CD9B-0D71-4AC6-AD94-8AECA53822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2" authorId="0" shapeId="0" xr:uid="{68834EF2-7C27-4DA6-B826-0C6F67F6CFC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2" authorId="1" shapeId="0" xr:uid="{617657B6-2CCF-43DC-873B-B86CF8DEB41B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I22" authorId="2" shapeId="0" xr:uid="{FDEC97AB-425A-4207-BDE3-22AE29848365}">
      <text>
        <r>
          <rPr>
            <b/>
            <sz val="14"/>
            <color indexed="81"/>
            <rFont val="MS P ゴシック"/>
            <family val="3"/>
            <charset val="128"/>
          </rPr>
          <t>保護者会および
進路相談</t>
        </r>
      </text>
    </comment>
    <comment ref="AK22" authorId="2" shapeId="0" xr:uid="{53ADC8F5-8703-44DF-84DC-8A60D72F1823}">
      <text>
        <r>
          <rPr>
            <b/>
            <sz val="20"/>
            <color indexed="81"/>
            <rFont val="MS P ゴシック"/>
            <family val="3"/>
            <charset val="128"/>
          </rPr>
          <t>三女卒業式</t>
        </r>
      </text>
    </comment>
    <comment ref="M23" authorId="1" shapeId="0" xr:uid="{43FDDFB0-4AF1-4362-A46A-C0D030C0E8A7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23" authorId="0" shapeId="0" xr:uid="{C849D12B-7082-4553-96E1-156148879E6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3" authorId="0" shapeId="0" xr:uid="{758E02AC-25B2-448C-B7AE-ED69DD534CCD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23" authorId="0" shapeId="0" xr:uid="{930CC5DA-1D6F-443C-AF96-7EABA623CD0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3" authorId="0" shapeId="0" xr:uid="{C7B8844B-1880-44AC-B89A-1A17BC548B6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23" authorId="0" shapeId="0" xr:uid="{61D45D09-C486-41BC-81C5-2900FE1EB8D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3" authorId="0" shapeId="0" xr:uid="{0C537647-6E49-4DF3-A727-5C652DE8CB5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24" authorId="0" shapeId="0" xr:uid="{D8427EA4-60FF-470F-93EC-2E1ED0EE8E8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24" authorId="1" shapeId="0" xr:uid="{5CDD19F2-EAB6-4316-9CE6-27BCE9126E58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S24" authorId="0" shapeId="0" xr:uid="{A4DF99E6-672D-4971-BCBC-F5F0360B2CC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24" authorId="0" shapeId="0" xr:uid="{A3D9215A-1540-4447-8157-82C9EF05426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24" authorId="0" shapeId="0" xr:uid="{85C26CAD-43C9-474E-A505-988956B1BEB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5" authorId="0" shapeId="0" xr:uid="{CA1FD0D3-A602-4D4B-9635-95D50BB429D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25" authorId="0" shapeId="0" xr:uid="{0DF8909D-FE56-42C8-A374-53F150BB57F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25" authorId="0" shapeId="0" xr:uid="{2869AE79-C01B-4C9D-9822-E7381E41277B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T25" authorId="0" shapeId="0" xr:uid="{3033033D-1441-42DE-BE32-4BBAACF17C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25" authorId="0" shapeId="0" xr:uid="{4D09CD49-1E0B-4AED-A14E-E41EA437162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25" authorId="1" shapeId="0" xr:uid="{2CD923EA-740C-4CA4-BA2E-BD5229171B0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X25" authorId="0" shapeId="0" xr:uid="{DC6975DD-F5DB-4607-9799-93F25434E4F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P26" authorId="0" shapeId="0" xr:uid="{551A377F-2979-47CC-8993-05CCD3586065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26" authorId="1" shapeId="0" xr:uid="{008B5731-12BC-4F2A-9377-AA2025F3933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S26" authorId="0" shapeId="0" xr:uid="{07B78FF5-F414-4C95-9BAF-290B6001E60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26" authorId="0" shapeId="0" xr:uid="{262C0D55-9CA1-4972-8F64-A7BD449C798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26" authorId="0" shapeId="0" xr:uid="{3141524B-D6B7-4A5B-86F2-8FBA421EB2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7" authorId="0" shapeId="0" xr:uid="{4FB329B6-C07A-4572-953A-ECEA31C51618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27" authorId="0" shapeId="0" xr:uid="{B7A46364-C212-46B0-9998-56CEEC7E3648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27" authorId="0" shapeId="0" xr:uid="{DF860036-EF75-4472-86DA-09FD5B66C3E6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U27" authorId="0" shapeId="0" xr:uid="{B5908C4D-EFCE-43F5-9D2E-C307373E767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27" authorId="1" shapeId="0" xr:uid="{17EE73BC-AE71-4CCD-BFDE-2DFE8FE0076C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W27" authorId="0" shapeId="0" xr:uid="{1F0958E7-116F-459F-9460-24B24CF7E49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27" authorId="0" shapeId="0" xr:uid="{9AD0D46F-7C6A-45D4-BD52-DDB602E3660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28" authorId="0" shapeId="0" xr:uid="{63780505-5973-4D36-8B3C-7C0BA9AA752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28" authorId="1" shapeId="0" xr:uid="{B91FB9E5-4819-43B5-9382-D978245FCD75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S28" authorId="0" shapeId="0" xr:uid="{01A9447A-B7A6-4930-9FCE-93F6C1AC64D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28" authorId="0" shapeId="0" xr:uid="{E1BE9B5A-672A-4DE2-ADA0-B06448208FB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28" authorId="0" shapeId="0" xr:uid="{E21DEEE5-2E57-4EA6-8720-15A59FF2E70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9" authorId="0" shapeId="0" xr:uid="{E1DF32E3-8AA7-4C8C-84A4-8F06C84C54B0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29" authorId="0" shapeId="0" xr:uid="{AE1B4AF2-C048-4157-BCC1-8A797922457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29" authorId="0" shapeId="0" xr:uid="{AACD74BE-7FA1-4AF4-AC9B-4EB762D09CE4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T29" authorId="0" shapeId="0" xr:uid="{04CFF138-6C29-457E-8AB4-460BC51867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29" authorId="1" shapeId="0" xr:uid="{F1C98DF5-4478-4DAB-95EE-EA2A23D6574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W29" authorId="0" shapeId="0" xr:uid="{F8DD5F28-53D9-4BE8-9806-DE3A061460D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29" authorId="0" shapeId="0" xr:uid="{455357B9-9A7A-4087-810B-6C3DABD8EF4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D30" authorId="0" shapeId="0" xr:uid="{84D47DAB-B4B3-4756-88BC-45FA99E18C3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E30" authorId="0" shapeId="0" xr:uid="{4715DB82-82F9-4E4A-AE26-1C07612D49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30" authorId="0" shapeId="0" xr:uid="{1AA619CB-3464-46FA-BCEB-A1631D315F4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0" authorId="0" shapeId="0" xr:uid="{C5B4E4AA-8661-4319-AF33-0D7D8E30D48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30" authorId="1" shapeId="0" xr:uid="{6745618F-AE9C-48F6-95ED-0E98A087B04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D31" authorId="0" shapeId="0" xr:uid="{EBEB37FE-7CA9-4E07-8F13-11457FE38419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E31" authorId="0" shapeId="0" xr:uid="{09610412-2E15-4FF5-8AAD-4AE613A506C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31" authorId="0" shapeId="0" xr:uid="{9AF838CD-4A79-440C-9B6E-E1489BB99E8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1" authorId="0" shapeId="0" xr:uid="{D1EF0AA7-82BD-46FD-9E52-72A19689B83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31" authorId="1" shapeId="0" xr:uid="{C07BB177-0435-4FEC-8FD2-459EC11B9F15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L31" authorId="0" shapeId="0" xr:uid="{2827D879-5E7C-42E4-844D-4BCBE9779CA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31" authorId="0" shapeId="0" xr:uid="{97DA4321-DF4F-45CD-B71A-30A534517BA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32" authorId="0" shapeId="0" xr:uid="{3C1758BE-6DB7-4EEF-8DBD-5B818BA8402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H32" authorId="0" shapeId="0" xr:uid="{349DE855-47FB-4115-9B55-C448BE98E86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2" authorId="0" shapeId="0" xr:uid="{EFAEF413-FC44-4B45-8711-E7CE747EFA3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32" authorId="1" shapeId="0" xr:uid="{C5204890-5E66-4C33-9E07-E6855DEA982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M32" authorId="0" shapeId="0" xr:uid="{27E8936C-B94F-497D-AFE4-FD80A214D04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33" authorId="0" shapeId="0" xr:uid="{34A68AD8-6C66-4348-A90A-67ADA8FAAA78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H33" authorId="0" shapeId="0" xr:uid="{94547A79-915E-4664-A89B-5AF7941804C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3" authorId="0" shapeId="0" xr:uid="{57762F4F-0BE6-445E-9F14-BBD890CEBF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33" authorId="1" shapeId="0" xr:uid="{6A2A749B-E8E4-4C16-93F8-C09974D530E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L33" authorId="0" shapeId="0" xr:uid="{D740101C-296E-403E-BF5E-89744E869766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33" authorId="0" shapeId="0" xr:uid="{875DB3C8-C646-45B3-90AA-4551981BA85D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N33" authorId="0" shapeId="0" xr:uid="{D2158F60-FD7A-4061-9B8F-20F3734A493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I34" authorId="0" shapeId="0" xr:uid="{66778786-4B58-455D-A9D4-08FBA4062BA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L34" authorId="1" shapeId="0" xr:uid="{0F7BB462-4E1C-412A-8B71-63A2E9C15AE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M34" authorId="0" shapeId="0" xr:uid="{DB7275E6-22CE-4E41-8F51-7E353E92A2A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34" authorId="0" shapeId="0" xr:uid="{59DC6CE4-6D7D-4512-9E8C-733AADA34A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34" authorId="0" shapeId="0" xr:uid="{65667168-88BC-463E-A359-5FE7F4740C8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34" authorId="0" shapeId="0" xr:uid="{A5C3ED7B-0F73-456D-843A-72FEF32B68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5" authorId="0" shapeId="0" xr:uid="{D127CA58-7E39-46CF-ABC2-F9FF8D04F10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35" authorId="1" shapeId="0" xr:uid="{9248ACC8-6A5E-4D32-B4DC-61387BD5F3EF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L35" authorId="0" shapeId="0" xr:uid="{019EA048-2FBF-4255-AB76-D05A6121BF63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35" authorId="0" shapeId="0" xr:uid="{49E1108E-8A33-4C45-86E7-F61923365078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O35" authorId="0" shapeId="0" xr:uid="{427EF2F0-82C3-4E53-8BF3-850DF92007E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35" authorId="0" shapeId="0" xr:uid="{94D42D67-961F-4E56-9170-4C3C1A839BB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35" authorId="0" shapeId="0" xr:uid="{FE597090-D413-4D33-9E25-0009B8FD9E7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36" authorId="0" shapeId="0" xr:uid="{60473301-30C0-4427-9916-8E51A41A052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Q36" authorId="0" shapeId="0" xr:uid="{8AFCAA2F-2489-4252-B469-57003320D07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37" authorId="0" shapeId="0" xr:uid="{72216C2C-E362-4D2A-ACE4-84D8551D645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Q37" authorId="0" shapeId="0" xr:uid="{F0E4D0B3-44CB-4461-9F35-19FE81E8E41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62" authorId="0" shapeId="0" xr:uid="{0D6476EB-7827-4E2C-B538-A196D950DC03}">
      <text>
        <r>
          <rPr>
            <sz val="9"/>
            <color indexed="81"/>
            <rFont val="HG丸ｺﾞｼｯｸM-PRO"/>
            <family val="3"/>
            <charset val="128"/>
          </rPr>
          <t>AM推奨
中山道→池袋→目白→高田馬場→新大久保→青山霊園(休憩)</t>
        </r>
      </text>
    </comment>
    <comment ref="M62" authorId="0" shapeId="0" xr:uid="{D1B0E57B-32D1-4652-8FFF-0FFCF6C383EA}">
      <text>
        <r>
          <rPr>
            <sz val="9"/>
            <color indexed="81"/>
            <rFont val="HG丸ｺﾞｼｯｸM-PRO"/>
            <family val="3"/>
            <charset val="128"/>
          </rPr>
          <t>AM推奨
若木通り→上板橋駅→日大板橋病院→池袋→明治通り→新宿→西新宿→新宿中央公園(休憩)</t>
        </r>
      </text>
    </comment>
    <comment ref="N62" authorId="0" shapeId="0" xr:uid="{D0AF9AED-5DB8-42A1-A9A6-35B417762972}">
      <text>
        <r>
          <rPr>
            <sz val="9"/>
            <color indexed="81"/>
            <rFont val="HG丸ｺﾞｼｯｸM-PRO"/>
            <family val="3"/>
            <charset val="128"/>
          </rPr>
          <t>AM推奨
銀座→東京駅→大手町→日本橋</t>
        </r>
      </text>
    </comment>
    <comment ref="O62" authorId="0" shapeId="0" xr:uid="{117871ED-FEEB-4AA0-A446-4EE590040522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62" authorId="1" shapeId="0" xr:uid="{39C03A58-485F-419E-BEC2-06189D5E068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Q62" authorId="3" shapeId="0" xr:uid="{250AD681-DD60-4936-B755-80B77328C17B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T62" authorId="0" shapeId="0" xr:uid="{09B9568B-1EA7-4AF6-94E2-79E6FDC2B31F}">
      <text>
        <r>
          <rPr>
            <sz val="9"/>
            <color indexed="81"/>
            <rFont val="HG丸ｺﾞｼｯｸM-PRO"/>
            <family val="3"/>
            <charset val="128"/>
          </rPr>
          <t>高速に不安が残る人用の補強
※やらなくても良い</t>
        </r>
      </text>
    </comment>
    <comment ref="U62" authorId="4" shapeId="0" xr:uid="{65954431-CD3E-4881-8F4B-1992FB0147B7}">
      <text>
        <r>
          <rPr>
            <b/>
            <sz val="9"/>
            <color indexed="81"/>
            <rFont val="MS P ゴシック"/>
            <family val="3"/>
            <charset val="128"/>
          </rPr>
          <t>いくつか課題を与え、
新人さん達だけで、運転研修させる</t>
        </r>
      </text>
    </comment>
    <comment ref="AB62" authorId="0" shapeId="0" xr:uid="{D4AF0533-AE34-4B9A-A49B-B5A34274EDF1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62" authorId="0" shapeId="0" xr:uid="{B2E9DD14-6CD4-4B9B-9BF0-D85539426161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62" authorId="1" shapeId="0" xr:uid="{BFA8B414-7ECE-4DF1-B56E-B75D4B55BCB4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F62" authorId="0" shapeId="0" xr:uid="{5D8BAB6F-4FA4-46D8-8775-043303C6CF2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62" authorId="0" shapeId="0" xr:uid="{0727B9F3-85CC-450C-8926-A605BBCBB61D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62" authorId="3" shapeId="0" xr:uid="{4FAF546D-0572-4CB7-BBED-4B2256992865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J63" authorId="1" shapeId="0" xr:uid="{55BDE72F-8988-443D-B8C4-354D70FEC92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L63" authorId="0" shapeId="0" xr:uid="{8A29EA2C-A822-453C-AFE8-4834AD139B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3" authorId="0" shapeId="0" xr:uid="{9E70AB19-CB9F-4D9D-9FC9-6A8812620D21}">
      <text>
        <r>
          <rPr>
            <sz val="9"/>
            <color indexed="81"/>
            <rFont val="HG丸ｺﾞｼｯｸM-PRO"/>
            <family val="3"/>
            <charset val="128"/>
          </rPr>
          <t>PM推奨
新宿駅西口地下→バスタ→NHK→渋谷→野沢通り→蛇崩交差点→三宿→三軒茶屋→世田谷営業所</t>
        </r>
      </text>
    </comment>
    <comment ref="N63" authorId="0" shapeId="0" xr:uid="{0E77D16F-1E5B-40B8-9631-D00B59FD453C}">
      <text>
        <r>
          <rPr>
            <sz val="9"/>
            <color indexed="81"/>
            <rFont val="HG丸ｺﾞｼｯｸM-PRO"/>
            <family val="3"/>
            <charset val="128"/>
          </rPr>
          <t>PM推奨
日比谷→愛宕→浜松町→品川→五反田→大崎→目黒→恵比寿→代官山→渋谷→原宿→千駄ヶ谷トンネル</t>
        </r>
      </text>
    </comment>
    <comment ref="O63" authorId="0" shapeId="0" xr:uid="{4D9B2E69-12FB-4138-AA84-272B1E327093}">
      <text>
        <r>
          <rPr>
            <sz val="9"/>
            <color indexed="81"/>
            <rFont val="HG丸ｺﾞｼｯｸM-PRO"/>
            <family val="3"/>
            <charset val="128"/>
          </rPr>
          <t>PM推奨
神楽坂→飯田橋→文京区→秋葉原→上野→浅草→スカイツリー→台東営業所</t>
        </r>
      </text>
    </comment>
    <comment ref="P63" authorId="0" shapeId="0" xr:uid="{FDAB41A3-AA3E-48DF-BE54-83422BA855D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Q63" authorId="4" shapeId="0" xr:uid="{2427BE72-B470-42EA-A040-718A4AA2AE19}">
      <text>
        <r>
          <rPr>
            <b/>
            <sz val="9"/>
            <color indexed="81"/>
            <rFont val="MS P ゴシック"/>
            <family val="3"/>
            <charset val="128"/>
          </rPr>
          <t>洗車について詳しく教える
（洗車実地研修）</t>
        </r>
      </text>
    </comment>
    <comment ref="T63" authorId="0" shapeId="0" xr:uid="{9AC29411-AD8A-48A9-9292-E79A3005CF97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U63" authorId="4" shapeId="0" xr:uid="{D8DCDDBC-FFEE-46DF-AC74-16BDAB33CCBA}">
      <text>
        <r>
          <rPr>
            <b/>
            <sz val="9"/>
            <color indexed="81"/>
            <rFont val="MS P ゴシック"/>
            <family val="3"/>
            <charset val="128"/>
          </rPr>
          <t>新人さん自身で課題を作り、運転研修させる</t>
        </r>
      </text>
    </comment>
    <comment ref="AB63" authorId="0" shapeId="0" xr:uid="{B86923FE-DC4A-46C3-923A-906CFD5FE782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63" authorId="0" shapeId="0" xr:uid="{2C82FA5D-653E-4511-8329-CC2ACF6D80D5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63" authorId="0" shapeId="0" xr:uid="{8004E9AB-06C5-4292-A6F7-11FDFB7D840F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F63" authorId="1" shapeId="0" xr:uid="{8FFE33C1-F279-41E0-A62A-11180CC47EC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G63" authorId="0" shapeId="0" xr:uid="{2773B3B8-C6DE-4268-9093-4A0EC26BB6E1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63" authorId="0" shapeId="0" xr:uid="{F895237B-DE1E-41F0-A330-674EFE0FA263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M68" authorId="0" shapeId="0" xr:uid="{10B8DEF5-7206-4590-B0E5-F65CD9D9B21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8" authorId="0" shapeId="0" xr:uid="{6B14598C-EB26-4CAE-8A38-5A3E813A902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8" authorId="0" shapeId="0" xr:uid="{0C7D99B6-F761-4923-B114-A62CB9630D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8" authorId="1" shapeId="0" xr:uid="{3247497A-8E18-4447-AD59-0D574C178D41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L69" authorId="0" shapeId="0" xr:uid="{6EA8BBFA-049A-432F-AA5D-1BCFC532A75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M69" authorId="0" shapeId="0" xr:uid="{40D680BD-8FC1-4C6B-86D4-9AC7BCF852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9" authorId="0" shapeId="0" xr:uid="{7313F5E9-4389-409C-93F2-89A61DA40D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9" authorId="0" shapeId="0" xr:uid="{981E0B76-ED82-46CF-AFD7-DD309273FD6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69" authorId="1" shapeId="0" xr:uid="{975C8E70-C79E-4469-ADD7-BA67303D83A1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L69" authorId="0" shapeId="0" xr:uid="{9556FBB3-2335-4A94-886D-1178D2F8B3C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J70" authorId="1" shapeId="0" xr:uid="{F6A1F5B9-885C-43A8-AE77-60558250E496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K70" authorId="0" shapeId="0" xr:uid="{A2B569DD-3959-460A-AFC8-DE6C53709DB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70" authorId="0" shapeId="0" xr:uid="{0782E119-4F27-4614-AFAC-FE8A865A474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70" authorId="1" shapeId="0" xr:uid="{37A24275-7B45-4003-83B4-044E1356CF6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S70" authorId="0" shapeId="0" xr:uid="{7E03349E-1DC0-4B78-A8AA-7C28D79B207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70" authorId="0" shapeId="0" xr:uid="{25282E40-56E3-4D73-8678-F21F2A9C6EE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0" authorId="0" shapeId="0" xr:uid="{4DF20868-123B-40C7-A746-E05F536C621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70" authorId="0" shapeId="0" xr:uid="{8EB01732-D126-4830-9C9F-F74EADF54CD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70" authorId="0" shapeId="0" xr:uid="{16E2803C-6276-4B5D-93A7-BAB4EAF76C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70" authorId="0" shapeId="0" xr:uid="{93C7837D-6015-4449-A8E8-EF0E4BF7CE9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70" authorId="0" shapeId="0" xr:uid="{E1093CCB-B71E-4002-9A7A-9B622876E90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0" authorId="0" shapeId="0" xr:uid="{A3AECE1F-5D50-48C7-B1EF-367E26F6D70B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L70" authorId="1" shapeId="0" xr:uid="{FA302B39-9E18-4893-AFAD-43545C7EA76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M70" authorId="0" shapeId="0" xr:uid="{5FC1A7F2-46D6-4DBE-A8BB-A497E5270A4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0" authorId="0" shapeId="0" xr:uid="{F45370DB-2F7E-4FD7-A923-4D29554E22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0" authorId="0" shapeId="0" xr:uid="{E62E6821-30B7-448D-BE85-FF092AF77E8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71" authorId="0" shapeId="0" xr:uid="{9B3EFD92-23D2-484A-A667-56E34B66198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71" authorId="0" shapeId="0" xr:uid="{BF109F75-08FA-4DF4-A60B-F50AF68E765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71" authorId="1" shapeId="0" xr:uid="{0989A79D-F15E-4685-B0BE-3CBC5E1E71D4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O71" authorId="0" shapeId="0" xr:uid="{57A8FE1A-8137-4490-88C1-C6E80F25E7EF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71" authorId="0" shapeId="0" xr:uid="{56A292F6-0A39-4098-A63B-084D171E296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71" authorId="0" shapeId="0" xr:uid="{A6E48A78-7CDE-4F0D-AC9F-3AB8D114B38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71" authorId="0" shapeId="0" xr:uid="{11189CCB-FC10-4F8C-8A72-F9D27728D12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1" authorId="0" shapeId="0" xr:uid="{3457E4CD-F1AA-4F77-BC6A-E2504AF2A7A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71" authorId="1" shapeId="0" xr:uid="{88481689-28A0-45D0-BCA8-74686244CE6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X71" authorId="0" shapeId="0" xr:uid="{8793B448-D5F1-4650-96B7-681F3874BC5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71" authorId="0" shapeId="0" xr:uid="{AB5916C4-1AFB-4CB9-AF5F-FE8DD19270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71" authorId="0" shapeId="0" xr:uid="{D26B635F-CC14-40E8-8D2C-36032B19CD4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71" authorId="0" shapeId="0" xr:uid="{2ABA87F5-0673-437B-8003-FC5CF0E66E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1" authorId="0" shapeId="0" xr:uid="{52618952-55D8-473C-8F6A-9AF82E8F136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71" authorId="1" shapeId="0" xr:uid="{D599D8B5-1668-4F79-9684-ADFA9290E777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L71" authorId="0" shapeId="0" xr:uid="{B4C6F6E3-3875-4A4D-B013-4485715DF269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71" authorId="0" shapeId="0" xr:uid="{C2F7F33A-0F84-4BA5-B44D-FC0FCCF593E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1" authorId="0" shapeId="0" xr:uid="{D74E40F9-8310-4A06-8720-CE9D315C49F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1" authorId="0" shapeId="0" xr:uid="{DAC658E0-1EDB-41A4-9F50-78AD3916C5D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国際自動車株式会社(城北) 板橋営業所 秋葉亮</author>
    <author>秋葉亮 板橋営業所 国際自動車株式会社(T2)</author>
    <author>国際自動車株式会社(城北) 板橋営業所 石井元行</author>
    <author>近藤共朗 板橋営業所 国際自動車株式会社(T2)</author>
  </authors>
  <commentList>
    <comment ref="J19" authorId="0" shapeId="0" xr:uid="{F58B93B5-9D35-4B40-AF4B-882C4C646A3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0" authorId="0" shapeId="0" xr:uid="{EBA0FF44-6593-48F7-9DB3-0452F8623D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0" authorId="0" shapeId="0" xr:uid="{93A9A2A7-5739-4A83-9351-194A68E894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0" authorId="0" shapeId="0" xr:uid="{0BE9BC70-DCB4-4F02-B191-2A9C4D4A50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1" authorId="0" shapeId="0" xr:uid="{F48D7F0F-CDA1-4E93-8CDB-2678EB8D9EE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1" authorId="0" shapeId="0" xr:uid="{E7A7A4E3-82AD-4F6F-A3FA-97BF71CE343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1" authorId="0" shapeId="0" xr:uid="{E7CC377F-8387-464E-8C14-2C4A25733E2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1" authorId="0" shapeId="0" xr:uid="{2B23A969-8FE9-4695-AE0E-E1768E7AC06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22" authorId="0" shapeId="0" xr:uid="{169F1D93-4A81-4620-A046-D0232350D49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M22" authorId="0" shapeId="0" xr:uid="{950DA780-C797-4879-9E83-6C9B395966F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2" authorId="0" shapeId="0" xr:uid="{336A1B6C-53ED-430A-A4B8-875B43A38CA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2" authorId="0" shapeId="0" xr:uid="{CF8CB86F-24FC-4E84-A268-BADAAC1077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2" authorId="1" shapeId="0" xr:uid="{42717C01-59EB-4DAD-A434-6A1EA03D0F3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L23" authorId="0" shapeId="0" xr:uid="{0E35DFE0-7A2C-47F2-A4C9-3D4DDD3F9129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M23" authorId="0" shapeId="0" xr:uid="{F104E144-E74C-4262-85C2-1B8E9A1CC8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3" authorId="0" shapeId="0" xr:uid="{ECB83A38-0415-456C-BD60-207C9588FD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3" authorId="0" shapeId="0" xr:uid="{B8973250-7DE6-48B3-B47B-C7EA84541D68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Q23" authorId="0" shapeId="0" xr:uid="{734FB810-D72F-4C0E-BB3A-CCE0D179184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23" authorId="1" shapeId="0" xr:uid="{01D97C3C-1677-41FE-B06D-6ABB58D1BC0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S23" authorId="0" shapeId="0" xr:uid="{C990B140-5F81-491F-A64B-1DDAFAD24F8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24" authorId="0" shapeId="0" xr:uid="{54E8AA93-AEC0-4D8C-BD65-086611D71B3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W24" authorId="0" shapeId="0" xr:uid="{7C0785C3-E51F-4A81-AF75-5A1D840E9194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X24" authorId="1" shapeId="0" xr:uid="{271EB8A7-C1A2-44EF-8161-CA421CF7258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B24" authorId="0" shapeId="0" xr:uid="{B425B246-EB74-4957-BF38-61AFC2D28EC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24" authorId="0" shapeId="0" xr:uid="{D34682BD-D086-4756-B174-19482F4ED21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24" authorId="0" shapeId="0" xr:uid="{3E36EBCC-726F-485E-A3E5-ECE0499D322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25" authorId="0" shapeId="0" xr:uid="{4ACCFCDF-CE4F-47C3-8FF6-34B6B19BBE4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W25" authorId="0" shapeId="0" xr:uid="{1E397EDA-2357-453B-90A9-42EF37A63E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25" authorId="0" shapeId="0" xr:uid="{E53A6335-1249-4E29-80DA-1404692CF6A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A25" authorId="1" shapeId="0" xr:uid="{D8656730-5C5C-4C3E-967E-B43634D595A9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B25" authorId="0" shapeId="0" xr:uid="{08924407-5F1A-4346-A63B-FA8D2DA995F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25" authorId="0" shapeId="0" xr:uid="{DD1726D8-C7B3-4572-BF2D-B3253868122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25" authorId="0" shapeId="0" xr:uid="{4C1C2B85-69D7-47EF-A5FD-B477FC0E84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25" authorId="0" shapeId="0" xr:uid="{A03501BF-A365-418A-8389-0D368333D48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6" authorId="0" shapeId="0" xr:uid="{202CB0BD-C9EE-4EFD-B7B0-0475F183953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V26" authorId="0" shapeId="0" xr:uid="{95AAC764-181D-4C36-95A4-F0320D32E91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26" authorId="0" shapeId="0" xr:uid="{DD902146-0B30-4117-A3E7-9FA4FCFC3A17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X26" authorId="1" shapeId="0" xr:uid="{EF32974C-BBB4-4658-B618-977C76B0953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Y26" authorId="0" shapeId="0" xr:uid="{C4AE7CC6-2516-434A-B09A-BCFD1071C2E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27" authorId="0" shapeId="0" xr:uid="{EFD4E0CE-69D5-4DCB-B62C-75D5ACCC052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V27" authorId="0" shapeId="0" xr:uid="{CACC75EB-4B65-4AD6-9DF7-0722DDD8D1A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27" authorId="0" shapeId="0" xr:uid="{93D166DC-3A81-4E67-8FFA-1496BFF395A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27" authorId="0" shapeId="0" xr:uid="{A894CBAE-14A4-4D5F-ABDF-CD13CBF349E9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Y27" authorId="0" shapeId="0" xr:uid="{CD045B9C-B2C5-4618-AF7C-0F16895E344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27" authorId="1" shapeId="0" xr:uid="{6BDBFFEE-F013-46D4-9F6B-B178655E2401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B27" authorId="0" shapeId="0" xr:uid="{4CB04395-A282-449A-AF2F-06231D5AE42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28" authorId="0" shapeId="0" xr:uid="{097CC4B5-A17A-4788-A377-EE8F7EB7443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28" authorId="0" shapeId="0" xr:uid="{AB5ABEF9-D8AB-4A1C-A1C4-39EEA9DCCFC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28" authorId="0" shapeId="0" xr:uid="{32E6482B-3855-4059-9177-D18C1FB4FB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28" authorId="1" shapeId="0" xr:uid="{40A518F7-3F57-4828-8813-1B38CD851A68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28" authorId="0" shapeId="0" xr:uid="{8AF0D5AA-4542-4587-8B8F-A70917504FE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29" authorId="0" shapeId="0" xr:uid="{CA77C341-F443-4A64-BC62-6D58442FB96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H29" authorId="1" shapeId="0" xr:uid="{1AA3CC99-B1CE-40E8-BFE5-067CB312DA0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J29" authorId="0" shapeId="0" xr:uid="{89A41D8C-F090-4BB9-B8A2-B16AD623B91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29" authorId="0" shapeId="0" xr:uid="{93C3DA63-DDCF-4B68-8E6E-62693F019BA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29" authorId="0" shapeId="0" xr:uid="{61B9EB76-2ECE-4271-B574-C9CD5CE7AC28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N29" authorId="0" shapeId="0" xr:uid="{B6F71694-C587-48D7-A3BE-8E5ACE96BBB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29" authorId="0" shapeId="0" xr:uid="{35BFE146-3BAA-4064-8FE7-1DBA64026FC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P30" authorId="0" shapeId="0" xr:uid="{FDA8D1E0-30EA-4B3F-B032-D41E27B2A74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30" authorId="0" shapeId="0" xr:uid="{74BF646D-DED9-4CDE-A5D2-813607143BA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30" authorId="0" shapeId="0" xr:uid="{2EFCAF4A-085B-4D6C-BEF9-94A27CCEA7B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0" authorId="0" shapeId="0" xr:uid="{BAA764D7-D924-407E-81BC-90E760E2F3D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31" authorId="0" shapeId="0" xr:uid="{EFC86F59-3DD4-4A7B-8039-23D5BED7FD9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S31" authorId="0" shapeId="0" xr:uid="{FB894430-CB47-46A4-BDB0-0421905AF55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31" authorId="0" shapeId="0" xr:uid="{AFEB2B4E-DB7A-4B61-AE04-4BCEC65DA41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1" authorId="0" shapeId="0" xr:uid="{77ACC775-4316-4089-A79E-17E15776992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2" authorId="0" shapeId="0" xr:uid="{724A29CF-6865-4431-B3BA-9D945ECC5AC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W32" authorId="0" shapeId="0" xr:uid="{611E7282-1BD6-4027-873C-DE157B0B313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3" authorId="0" shapeId="0" xr:uid="{E15290D8-CEE8-439D-AEB7-61722A3DBF7F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W33" authorId="0" shapeId="0" xr:uid="{BCBD31A0-7DA1-4A39-A4CC-5C2A55B1CE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58" authorId="0" shapeId="0" xr:uid="{4D676278-9CDE-46F8-87CD-3D8D1881D51D}">
      <text>
        <r>
          <rPr>
            <sz val="9"/>
            <color indexed="81"/>
            <rFont val="HG丸ｺﾞｼｯｸM-PRO"/>
            <family val="3"/>
            <charset val="128"/>
          </rPr>
          <t>AM推奨
中山道→池袋→目白→高田馬場→新大久保→青山霊園(休憩)</t>
        </r>
      </text>
    </comment>
    <comment ref="M58" authorId="0" shapeId="0" xr:uid="{266B24D6-9F09-4928-9DF7-9F955C92F84E}">
      <text>
        <r>
          <rPr>
            <sz val="9"/>
            <color indexed="81"/>
            <rFont val="HG丸ｺﾞｼｯｸM-PRO"/>
            <family val="3"/>
            <charset val="128"/>
          </rPr>
          <t>AM推奨
若木通り→上板橋駅→日大板橋病院→池袋→明治通り→新宿→西新宿→新宿中央公園(休憩)</t>
        </r>
      </text>
    </comment>
    <comment ref="N58" authorId="0" shapeId="0" xr:uid="{9137BFA9-A001-425C-8F93-199AEE2E2FFF}">
      <text>
        <r>
          <rPr>
            <sz val="9"/>
            <color indexed="81"/>
            <rFont val="HG丸ｺﾞｼｯｸM-PRO"/>
            <family val="3"/>
            <charset val="128"/>
          </rPr>
          <t>AM推奨
銀座→東京駅→大手町→日本橋</t>
        </r>
      </text>
    </comment>
    <comment ref="O58" authorId="0" shapeId="0" xr:uid="{925C2D1C-4B9B-4C6C-9B21-4C7A5B0D96D1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58" authorId="1" shapeId="0" xr:uid="{475A29F0-9A1C-49B1-A6C8-9F3ACBB7327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Q58" authorId="2" shapeId="0" xr:uid="{180B3149-2DF8-4192-B9F5-6684A00AD648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T58" authorId="0" shapeId="0" xr:uid="{26CD8377-ABAA-4D5E-8904-E57F55E6CA09}">
      <text>
        <r>
          <rPr>
            <sz val="9"/>
            <color indexed="81"/>
            <rFont val="HG丸ｺﾞｼｯｸM-PRO"/>
            <family val="3"/>
            <charset val="128"/>
          </rPr>
          <t>高速に不安が残る人用の補強
※やらなくても良い</t>
        </r>
      </text>
    </comment>
    <comment ref="U58" authorId="3" shapeId="0" xr:uid="{69F5C725-F373-43A9-A80D-AA5168EF8B53}">
      <text>
        <r>
          <rPr>
            <b/>
            <sz val="9"/>
            <color indexed="81"/>
            <rFont val="MS P ゴシック"/>
            <family val="3"/>
            <charset val="128"/>
          </rPr>
          <t>いくつか課題を与え、
新人さん達だけで、運転研修させる</t>
        </r>
      </text>
    </comment>
    <comment ref="AB58" authorId="0" shapeId="0" xr:uid="{07B07D16-2F57-47CC-8282-4EC562E3F9E5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58" authorId="0" shapeId="0" xr:uid="{651B1B9D-F945-45AE-BFC5-F54C4ED540A0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58" authorId="1" shapeId="0" xr:uid="{817B51EE-AEAF-44DC-BB5B-CA04AC7CDD0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F58" authorId="0" shapeId="0" xr:uid="{E993D886-F8BF-4CA6-ABB0-3037EC04EBD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58" authorId="0" shapeId="0" xr:uid="{23E9D4FF-927C-4956-A2ED-06EB5C76E31C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58" authorId="2" shapeId="0" xr:uid="{7E0E7E48-DC71-43E4-831A-DE39C8E13E04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J59" authorId="1" shapeId="0" xr:uid="{3ED59E49-6882-434E-BDF7-F73C584C270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L59" authorId="0" shapeId="0" xr:uid="{7A1F9521-F5F1-4BA5-BBE0-245B4191446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59" authorId="0" shapeId="0" xr:uid="{E45F3461-F3C4-48D0-97F0-C7ED68B67474}">
      <text>
        <r>
          <rPr>
            <sz val="9"/>
            <color indexed="81"/>
            <rFont val="HG丸ｺﾞｼｯｸM-PRO"/>
            <family val="3"/>
            <charset val="128"/>
          </rPr>
          <t>PM推奨
新宿駅西口地下→バスタ→NHK→渋谷→野沢通り→蛇崩交差点→三宿→三軒茶屋→世田谷営業所</t>
        </r>
      </text>
    </comment>
    <comment ref="N59" authorId="0" shapeId="0" xr:uid="{563E7C81-D47F-4D77-9207-B4C16151A50E}">
      <text>
        <r>
          <rPr>
            <sz val="9"/>
            <color indexed="81"/>
            <rFont val="HG丸ｺﾞｼｯｸM-PRO"/>
            <family val="3"/>
            <charset val="128"/>
          </rPr>
          <t>PM推奨
日比谷→愛宕→浜松町→品川→五反田→大崎→目黒→恵比寿→代官山→渋谷→原宿→千駄ヶ谷トンネル</t>
        </r>
      </text>
    </comment>
    <comment ref="O59" authorId="0" shapeId="0" xr:uid="{60D5565F-E0D1-4FF6-AB7B-8A6340034152}">
      <text>
        <r>
          <rPr>
            <sz val="9"/>
            <color indexed="81"/>
            <rFont val="HG丸ｺﾞｼｯｸM-PRO"/>
            <family val="3"/>
            <charset val="128"/>
          </rPr>
          <t>PM推奨
神楽坂→飯田橋→文京区→秋葉原→上野→浅草→スカイツリー→台東営業所</t>
        </r>
      </text>
    </comment>
    <comment ref="P59" authorId="0" shapeId="0" xr:uid="{1DAD6BAE-5DA3-4BE1-82CF-C921F1C0D730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Q59" authorId="3" shapeId="0" xr:uid="{E705343C-B52D-4B80-A56D-5A78606011C4}">
      <text>
        <r>
          <rPr>
            <b/>
            <sz val="9"/>
            <color indexed="81"/>
            <rFont val="MS P ゴシック"/>
            <family val="3"/>
            <charset val="128"/>
          </rPr>
          <t>洗車について詳しく教える
（洗車実地研修）</t>
        </r>
      </text>
    </comment>
    <comment ref="T59" authorId="0" shapeId="0" xr:uid="{0E3B3CF1-962F-43AD-A57C-12B1EFD9D665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U59" authorId="3" shapeId="0" xr:uid="{BB919251-F150-4537-857A-D1BECAB229C2}">
      <text>
        <r>
          <rPr>
            <b/>
            <sz val="9"/>
            <color indexed="81"/>
            <rFont val="MS P ゴシック"/>
            <family val="3"/>
            <charset val="128"/>
          </rPr>
          <t>新人さん自身で課題を作り、運転研修させる</t>
        </r>
      </text>
    </comment>
    <comment ref="AB59" authorId="0" shapeId="0" xr:uid="{6E44B743-3324-451F-A531-5CF64FA6F950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59" authorId="0" shapeId="0" xr:uid="{60925D0C-6500-4734-B97F-A0F1FABBB7F7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59" authorId="0" shapeId="0" xr:uid="{36A4EA62-C29B-46C4-9422-1CB1F6141E22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F59" authorId="1" shapeId="0" xr:uid="{3203AF81-7322-458C-9BAE-CB33EA7A60B4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G59" authorId="0" shapeId="0" xr:uid="{9B753043-03A6-46DF-9648-D1158CA127DE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59" authorId="0" shapeId="0" xr:uid="{65B15405-1356-4B99-848D-1BBEE1EED1DC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T64" authorId="0" shapeId="0" xr:uid="{D745E679-88B8-4FDD-931E-E6AC4482017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H64" authorId="1" shapeId="0" xr:uid="{7DBDFA9F-AB02-4217-8F4B-FA6921A813A7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Q65" authorId="0" shapeId="0" xr:uid="{4D50ECC4-9FCB-4561-AB2D-9B5501358F2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65" authorId="0" shapeId="0" xr:uid="{5D045F94-677F-4C70-85BD-F3A4B94FE1C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X65" authorId="0" shapeId="0" xr:uid="{4532A363-3361-4B5A-8678-D88BF27400C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A65" authorId="1" shapeId="0" xr:uid="{293A229B-D940-4809-BE94-7F10F5305314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E65" authorId="0" shapeId="0" xr:uid="{4DB7A043-9410-4F8D-9FDC-148C115C827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L65" authorId="0" shapeId="0" xr:uid="{CB38E95A-0003-4D56-A2C5-204C63BB9BE5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66" authorId="0" shapeId="0" xr:uid="{9BCC1CA2-8C66-4D7E-9ED5-F9C9A70A985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6" authorId="0" shapeId="0" xr:uid="{4AD3FCD5-E120-41D4-B4A2-F87CA4BA391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6" authorId="0" shapeId="0" xr:uid="{E330AC96-85AC-42DE-AB5C-9131C0D114F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66" authorId="0" shapeId="0" xr:uid="{7F44C855-E602-461C-ADE6-1915CCEB8D6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66" authorId="0" shapeId="0" xr:uid="{07A9E11A-6A40-4C01-9485-A8EC758C0BB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66" authorId="1" shapeId="0" xr:uid="{B1B48030-C980-4C58-84E8-7F756ED62DCA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S66" authorId="0" shapeId="0" xr:uid="{40A5663A-71ED-4389-8733-5BEE42CE44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66" authorId="0" shapeId="0" xr:uid="{0E9D9F9C-580C-4541-82BA-6EA3B58EBEB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66" authorId="0" shapeId="0" xr:uid="{5349E8DC-8B4C-47B5-996F-2245DDBADA0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66" authorId="1" shapeId="0" xr:uid="{EABDD4FB-EC6E-4AD8-8FF8-F17A4939A67A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Y66" authorId="0" shapeId="0" xr:uid="{C79D7007-BF99-453E-893A-27C3DD4A16C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66" authorId="0" shapeId="0" xr:uid="{71B4CBF2-C95A-4E88-BA88-CD5261719EA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6" authorId="0" shapeId="0" xr:uid="{B4A201F9-F095-4F80-B47A-1A7EDE32524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66" authorId="0" shapeId="0" xr:uid="{8929FF91-F2E6-48F7-871C-9E805AABCB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6" authorId="0" shapeId="0" xr:uid="{B8FEE805-03C0-4D64-AA75-B1438CA5835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66" authorId="0" shapeId="0" xr:uid="{3D0FCF03-A82B-4980-8E64-BA852EB6CE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66" authorId="0" shapeId="0" xr:uid="{6EABBF74-F52F-4444-8A57-95ED6DF12B2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6" authorId="1" shapeId="0" xr:uid="{830E1623-A4A7-4685-B263-7FEEE2C9925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66" authorId="0" shapeId="0" xr:uid="{A7753D27-BDB1-4F2A-B490-34AD51B6D6C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67" authorId="0" shapeId="0" xr:uid="{6F487E04-9D52-4D33-85C6-23EEC05F820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7" authorId="0" shapeId="0" xr:uid="{B85D233E-A428-4ACE-BE67-370A0CF9870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7" authorId="0" shapeId="0" xr:uid="{88680161-C435-4F56-8058-D5038E19047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67" authorId="0" shapeId="0" xr:uid="{5CAA3BC4-46FB-44DA-9D52-CAED461EB6A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67" authorId="0" shapeId="0" xr:uid="{99DBD27A-85F9-402C-BDF2-D3F69476C9A4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Q67" authorId="0" shapeId="0" xr:uid="{01F1D0BA-5AA4-44DC-B590-3165AB8FE870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67" authorId="1" shapeId="0" xr:uid="{C053A0AE-5A19-4D90-80CB-70C0EEF0BF0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S67" authorId="0" shapeId="0" xr:uid="{46E1780F-6F08-40B3-A016-4A8172D78A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67" authorId="0" shapeId="0" xr:uid="{823E2037-9A92-451A-AF58-DA460BEC7AB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67" authorId="0" shapeId="0" xr:uid="{2D45D8E5-6168-4C0B-B8B3-2A9463FF64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67" authorId="0" shapeId="0" xr:uid="{E9F30F84-7007-4EFE-86E8-4617AE6FD617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Y67" authorId="0" shapeId="0" xr:uid="{381977FE-2DA1-4C2F-A4C2-36C264905E8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67" authorId="0" shapeId="0" xr:uid="{0A318156-D428-4F41-8630-35B1EF41904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7" authorId="0" shapeId="0" xr:uid="{AEE3E906-5FC9-4174-B949-0CA369869B6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67" authorId="0" shapeId="0" xr:uid="{C292380E-742F-4444-B943-402795F9F6B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7" authorId="0" shapeId="0" xr:uid="{4C0F850F-1F86-42C2-A789-E2B7DF559AB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67" authorId="0" shapeId="0" xr:uid="{411B82C9-1013-4CCF-9389-28B05AF7A1A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67" authorId="0" shapeId="0" xr:uid="{A2B294B1-F2E0-4604-B942-1699CA80D4D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7" authorId="0" shapeId="0" xr:uid="{466903F0-B090-4B9F-9DB3-1F8A0A7816A6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N67" authorId="0" shapeId="0" xr:uid="{7F50E5A8-DAE4-4867-9E35-8EF9D817A4F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国際自動車株式会社(城北) 板橋営業所 秋葉亮</author>
    <author>秋葉亮 板橋営業所 国際自動車株式会社(T2)</author>
    <author>国際自動車株式会社(城北) 板橋営業所 石井元行</author>
    <author>近藤共朗 板橋営業所 国際自動車株式会社(T2)</author>
  </authors>
  <commentList>
    <comment ref="J19" authorId="0" shapeId="0" xr:uid="{5581B5BE-6319-4915-9969-82CA1BBA665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0" authorId="0" shapeId="0" xr:uid="{575F6587-B2E2-4BFE-A826-46B35B6A9D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1" authorId="0" shapeId="0" xr:uid="{2C3FB98B-152D-4E9F-B951-DF55C8E2BB6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21" authorId="0" shapeId="0" xr:uid="{D486B5AB-F031-4BE9-A0F9-CFC052A80D3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22" authorId="0" shapeId="0" xr:uid="{4DFDF135-3746-4A89-B7A2-E2F8118F018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22" authorId="0" shapeId="0" xr:uid="{55C25455-0D5A-4908-B374-0E0003E319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2" authorId="0" shapeId="0" xr:uid="{A6D6815F-3190-45D6-B584-23C02FA381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2" authorId="0" shapeId="0" xr:uid="{17B1494F-BEAD-412C-B68D-2F486127DEF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23" authorId="0" shapeId="0" xr:uid="{5F39FB13-6660-4891-97DE-64FA742A036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N23" authorId="0" shapeId="0" xr:uid="{33A04215-B534-4485-BEF6-C87EFA13FC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23" authorId="0" shapeId="0" xr:uid="{7C733E99-A058-4D91-9A59-865CDF7FE7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3" authorId="0" shapeId="0" xr:uid="{BF6E481F-5A12-4FD9-95A1-647F7DD1E3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3" authorId="1" shapeId="0" xr:uid="{B54DB118-8C4F-4F93-AEAF-18C8A24ED90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R23" authorId="1" shapeId="0" xr:uid="{7A53CC05-0320-46D2-8CF6-02D7431A15B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S23" authorId="0" shapeId="0" xr:uid="{1DC14F5B-5B74-46C4-A6C1-388DDB29367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4" authorId="0" shapeId="0" xr:uid="{EF65DFEC-2134-48D5-9ACA-5AF2DD244FB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5" authorId="0" shapeId="0" xr:uid="{F0C8C3FD-9EF2-445C-BEDC-E6EFEFE2800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J29" authorId="0" shapeId="0" xr:uid="{AD469BFD-747D-4413-86D2-87C93694999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P30" authorId="0" shapeId="0" xr:uid="{837513BC-88DD-48F8-9A2C-19582E090A1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30" authorId="0" shapeId="0" xr:uid="{EC7DA3FC-81CE-450E-99DB-56FEA08702E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30" authorId="0" shapeId="0" xr:uid="{6BEA221A-22B7-4C95-A6A1-7542103B42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0" authorId="0" shapeId="0" xr:uid="{45366B4F-59A7-4F9C-BB0B-55894BF02AC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31" authorId="0" shapeId="0" xr:uid="{8C22C960-320F-40A9-A19B-207466874BF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S31" authorId="0" shapeId="0" xr:uid="{DD10A4B0-932F-43A6-B51B-90869B573F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31" authorId="0" shapeId="0" xr:uid="{E9FAE701-865C-45F1-9DEF-0C5579C049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1" authorId="0" shapeId="0" xr:uid="{1933074D-AC20-4154-ABFC-47C25C98DAD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2" authorId="0" shapeId="0" xr:uid="{2A985503-E3F0-4A05-BFF9-15455977949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W32" authorId="0" shapeId="0" xr:uid="{E32C72FD-1882-4059-8097-5355F329336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33" authorId="0" shapeId="0" xr:uid="{74008145-B1C9-4A2F-B3FC-8AC1D100C67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W33" authorId="0" shapeId="0" xr:uid="{69338CAD-ACE3-49B9-8845-43778426067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34" authorId="0" shapeId="0" xr:uid="{29345275-FAD4-4415-8F7F-CBBD5010502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34" authorId="0" shapeId="0" xr:uid="{13DF9797-6B68-4499-BEDE-5120D9FE451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P34" authorId="0" shapeId="0" xr:uid="{F79DDB8D-F5A7-47E2-878A-5EB9818FFB5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34" authorId="0" shapeId="0" xr:uid="{5A4D2884-F596-4895-B67B-207125C4DE2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34" authorId="1" shapeId="0" xr:uid="{17181929-E9F0-4BEB-8D65-B599CC2FF505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34" authorId="0" shapeId="0" xr:uid="{878943FC-4222-4679-A31F-A7E87CD7E28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35" authorId="0" shapeId="0" xr:uid="{19D5ED4E-FEEB-44DD-A139-0765F7F8F89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35" authorId="0" shapeId="0" xr:uid="{32F4974C-307E-4AE6-98CE-63E58EA8C3F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Q35" authorId="0" shapeId="0" xr:uid="{18D029F0-E220-4009-879E-CAC53BA7FF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35" authorId="0" shapeId="0" xr:uid="{B7D765AF-F29F-44BB-8CBE-7CE655835939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35" authorId="1" shapeId="0" xr:uid="{3B40A31A-214E-4445-80A2-B10F65AF172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I36" authorId="0" shapeId="0" xr:uid="{E26B3508-D785-4346-8279-07C77E58FE0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36" authorId="0" shapeId="0" xr:uid="{3AF1AD9F-2664-4617-812D-76B1BABD556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36" authorId="1" shapeId="0" xr:uid="{D8272775-DACD-4648-AD12-5CD0E23E238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L36" authorId="0" shapeId="0" xr:uid="{353EA8C2-464F-48B8-9BB9-55E807B10E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36" authorId="0" shapeId="0" xr:uid="{B2FE6D32-969F-4C2E-B8F7-CC8AC379C2A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36" authorId="0" shapeId="0" xr:uid="{9047E2DC-CF2A-4745-8434-D2FCFD901F5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7" authorId="0" shapeId="0" xr:uid="{435B98D9-03BE-40FE-8139-CBE1071A83DD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37" authorId="1" shapeId="0" xr:uid="{DDC987D1-0D8F-4775-B000-0ED3073EA0AD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37" authorId="0" shapeId="0" xr:uid="{733DB00A-4F7D-4D5C-8508-BDA2CFF2CC11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37" authorId="0" shapeId="0" xr:uid="{122AAA36-5D2B-4B4C-8EFB-D6055BC45EA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37" authorId="0" shapeId="0" xr:uid="{79E6DC88-37F4-4223-A1B4-7BD73B92A3A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37" authorId="0" shapeId="0" xr:uid="{49ADBA07-F5E2-4206-ADD4-A6E0439BE97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I38" authorId="0" shapeId="0" xr:uid="{535B0CD5-EBE7-4BED-A9ED-4D58D956518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38" authorId="0" shapeId="0" xr:uid="{F55C8700-D825-4651-BC68-3995665C85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38" authorId="1" shapeId="0" xr:uid="{F1D6232D-6FB8-4899-B880-265ADB64B03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L38" authorId="0" shapeId="0" xr:uid="{427A9D52-FA08-41A0-B70F-511868511E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38" authorId="0" shapeId="0" xr:uid="{8DA3FA91-EC96-477B-86C1-D6B30F413CB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38" authorId="0" shapeId="0" xr:uid="{92944867-6748-4E36-833B-A0E20B5B89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39" authorId="0" shapeId="0" xr:uid="{40428AA2-6A3C-42C1-8A32-0AD241895329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39" authorId="1" shapeId="0" xr:uid="{2E705F29-6FBA-46DE-B77F-331F99531E9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39" authorId="0" shapeId="0" xr:uid="{827C37D1-D2BA-498B-BEC9-9DB8D5014110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39" authorId="0" shapeId="0" xr:uid="{2AF85F4C-DBE7-4586-B520-4D872AE8ACD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39" authorId="0" shapeId="0" xr:uid="{D8F113A9-A25B-475F-910E-40443DB9FC0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39" authorId="0" shapeId="0" xr:uid="{2BAD940F-A323-4209-A732-A05F1DA25B7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40" authorId="0" shapeId="0" xr:uid="{775C3745-7E75-46AE-8D0C-1EF90E4CEF1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40" authorId="0" shapeId="0" xr:uid="{27497C3F-D94F-4734-AC8E-B531B40A5B7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40" authorId="0" shapeId="0" xr:uid="{177DFCAD-F15B-431F-B8C2-110FFABCC86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40" authorId="0" shapeId="0" xr:uid="{59E1D62B-2D69-4A29-861C-98E53BACF4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40" authorId="1" shapeId="0" xr:uid="{15A6B13D-B963-4273-AC4C-D37A734E99D7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L40" authorId="0" shapeId="0" xr:uid="{FBB8AFED-50CB-40D3-BD18-84ECE9EBA91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40" authorId="0" shapeId="0" xr:uid="{2DC7FE27-5443-4FD2-BCE3-F68FE171B2D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41" authorId="0" shapeId="0" xr:uid="{EBAF5E92-EB5F-4D70-8509-1781F234EED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G41" authorId="0" shapeId="0" xr:uid="{1260E240-D82F-4F2E-A618-BFE9F86C88E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41" authorId="0" shapeId="0" xr:uid="{C513F023-3E32-484A-A5A6-21830C1D70C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41" authorId="1" shapeId="0" xr:uid="{52BB046B-B6EF-49CB-9CA3-A28BBA5FB546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41" authorId="0" shapeId="0" xr:uid="{5AC5A113-DC4D-463C-BE34-0ACF23B5D082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41" authorId="0" shapeId="0" xr:uid="{3DC87581-C025-47E7-9BE6-F6D14E7722D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41" authorId="0" shapeId="0" xr:uid="{8CCF1AA9-D0C0-4DD1-9FD3-050E4BFD8DE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I42" authorId="0" shapeId="0" xr:uid="{D1598428-68B3-4C99-B834-3B4BF973850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42" authorId="0" shapeId="0" xr:uid="{763407EE-0D11-457D-9393-AEFF030B92E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42" authorId="1" shapeId="0" xr:uid="{BDC7AED0-2FF9-4E08-A622-15E10DCEAF5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42" authorId="0" shapeId="0" xr:uid="{F91FEBF9-D8DD-4CC6-91FC-BF58951C6E0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42" authorId="0" shapeId="0" xr:uid="{56D1EA13-60F9-42B4-AC25-F7644ECC0D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42" authorId="0" shapeId="0" xr:uid="{A7C92FF8-63C7-48A7-8AF2-BF74E5B420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2" authorId="0" shapeId="0" xr:uid="{5EA5F3A2-BDB6-4918-A54A-7EBCA84F660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3" authorId="0" shapeId="0" xr:uid="{FA5C0597-B2EA-4CD0-8BAC-3C9D5BDB501C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43" authorId="1" shapeId="0" xr:uid="{E0010C67-0E36-4A5E-8606-FBEA7701B8B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43" authorId="0" shapeId="0" xr:uid="{44E1937C-F942-4734-BD81-654AAD969CD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Q43" authorId="0" shapeId="0" xr:uid="{3AEFE152-6D4E-46C8-95E1-415C293A7B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3" authorId="0" shapeId="0" xr:uid="{C5F0073B-9574-4C3E-AE05-59656A73B8C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4" authorId="0" shapeId="0" xr:uid="{3F8E2CF1-72DA-4B49-93C0-C2DF8CF419A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44" authorId="0" shapeId="0" xr:uid="{2E1A32C4-236E-4E8B-83D1-81FC5AB04FD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44" authorId="1" shapeId="0" xr:uid="{67F8F46D-C8A4-48EF-8FE7-3DD2452D07B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44" authorId="0" shapeId="0" xr:uid="{3B0BBB9F-7EBF-4286-BC21-D2575D536F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44" authorId="0" shapeId="0" xr:uid="{E24B21C2-1225-4232-B17F-88A22019EA5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44" authorId="0" shapeId="0" xr:uid="{F383617B-8A81-434D-958B-8926DF9CF07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4" authorId="0" shapeId="0" xr:uid="{6C9544D3-116A-4A04-B82C-15E88E85879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5" authorId="0" shapeId="0" xr:uid="{FF52CBDB-60D6-4DD6-B375-5FABBF33CB20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45" authorId="1" shapeId="0" xr:uid="{91C6185A-AEDA-4E1A-B825-BFB6CD3C7FB3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45" authorId="0" shapeId="0" xr:uid="{03FCD484-4576-477A-B3B9-62742834A12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Q45" authorId="0" shapeId="0" xr:uid="{AE5FBE42-9728-4198-916B-C5D59C3D611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5" authorId="0" shapeId="0" xr:uid="{856AB0EF-41BD-4A67-8EF1-311BB3C9E2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6" authorId="0" shapeId="0" xr:uid="{16B5A1A4-6878-45D8-A66F-25BD3732646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46" authorId="0" shapeId="0" xr:uid="{9E6E1FA7-4A03-413E-8786-1D23B1C45B2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46" authorId="1" shapeId="0" xr:uid="{ED9C2D51-7935-4AAF-B886-8ADEF24C36B8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46" authorId="0" shapeId="0" xr:uid="{B8FC4490-872E-4AB2-A979-9891C1CAE3B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46" authorId="0" shapeId="0" xr:uid="{F2C6D23C-61FF-4C38-A732-77159C367E4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46" authorId="0" shapeId="0" xr:uid="{BB9EA943-EB1C-4D6C-918C-E4752B53D37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6" authorId="0" shapeId="0" xr:uid="{ADFDCBD0-2602-4275-8976-58B23F4CA89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7" authorId="0" shapeId="0" xr:uid="{2C5A19F4-51E0-4235-A0FB-5F16940124F6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47" authorId="1" shapeId="0" xr:uid="{D0F7A8A7-DF98-489B-96B6-280892AF99D9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47" authorId="0" shapeId="0" xr:uid="{118B863D-0C94-4190-9E20-3C7AF2745FA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Q47" authorId="0" shapeId="0" xr:uid="{399C8150-41C6-4110-8E0F-E1D9A70F0FD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7" authorId="0" shapeId="0" xr:uid="{E4FC9868-F1E3-405A-9E16-2F84157F02A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8" authorId="0" shapeId="0" xr:uid="{ADC0D51C-292E-43F1-AB28-923A7829A42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48" authorId="0" shapeId="0" xr:uid="{1654C197-279E-485A-A691-02E6DB08136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48" authorId="1" shapeId="0" xr:uid="{99968ABD-628A-4D62-B08B-5C9E5EB555F0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48" authorId="0" shapeId="0" xr:uid="{22FF5061-1A0F-4889-9DAB-BA268E7C050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48" authorId="0" shapeId="0" xr:uid="{C4BE9946-92C2-4239-90C7-5D60CA1599E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48" authorId="0" shapeId="0" xr:uid="{8A5050D0-6300-4984-A7DF-AEC23484921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8" authorId="0" shapeId="0" xr:uid="{4BFD1811-07FB-45F5-B209-EEF1214D3C9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49" authorId="0" shapeId="0" xr:uid="{B923E2BF-5DC3-4643-9A94-D33489E74F5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49" authorId="1" shapeId="0" xr:uid="{36297D68-5913-47DD-BD4E-D75BD3AF513F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49" authorId="0" shapeId="0" xr:uid="{AF6B2D6C-D61F-43FA-BCCD-DF052666775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49" authorId="0" shapeId="0" xr:uid="{A55D3E2F-4ABF-4E6B-85FD-66C3271E0E1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49" authorId="0" shapeId="0" xr:uid="{9722EA5A-F3F9-4889-AF7D-BE6096564AD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49" authorId="0" shapeId="0" xr:uid="{82725568-E795-41B9-B681-A8C8260F7F3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50" authorId="0" shapeId="0" xr:uid="{4B92B27E-D20E-4984-B8BD-4C2F44C4AC7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N50" authorId="0" shapeId="0" xr:uid="{3CE12851-42B2-4AA8-B666-4778F0B163A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0" authorId="0" shapeId="0" xr:uid="{57510037-869E-41E5-A360-E3AD7AC7A00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0" authorId="0" shapeId="0" xr:uid="{6EDDA89B-7439-4A9B-B3F7-7AC8D1D28B6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51" authorId="0" shapeId="0" xr:uid="{797266A9-B88C-46B5-AA19-A9202D001FF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M51" authorId="0" shapeId="0" xr:uid="{6646255C-F68F-41AD-8666-C812146159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1" authorId="0" shapeId="0" xr:uid="{ED09A1FD-4707-4D0A-9E0F-0E448CD3828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1" authorId="0" shapeId="0" xr:uid="{09750292-5E14-42B2-BD77-15231BE12A7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2" authorId="0" shapeId="0" xr:uid="{87A5ACCB-B1C1-46A8-8C79-91D72D718A6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K52" authorId="1" shapeId="0" xr:uid="{F6569703-A0B7-4B33-BCF7-9B31A345B658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P52" authorId="0" shapeId="0" xr:uid="{084541F1-884D-4E93-982D-AB24B184661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2" authorId="0" shapeId="0" xr:uid="{6C319248-E1B5-4BCA-8231-667DC53330A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2" authorId="0" shapeId="0" xr:uid="{D693543E-3A8E-485C-8986-7AE81C7FC11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2" authorId="0" shapeId="0" xr:uid="{E95231C9-3667-4D62-B6D7-E5C6E5A0474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3" authorId="0" shapeId="0" xr:uid="{30E04796-A23D-40EC-B4B3-65697AC3DEB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K53" authorId="0" shapeId="0" xr:uid="{B2D01966-9221-48F1-8D06-2B7914882E7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53" authorId="0" shapeId="0" xr:uid="{9C0F690F-3C76-4323-92CA-BE6BD0F5F60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3" authorId="0" shapeId="0" xr:uid="{F1F3A8B5-05AC-4AFC-9423-BFAC80E1D66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3" authorId="0" shapeId="0" xr:uid="{397E6687-2C57-4A7C-8145-44A8FECB79D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3" authorId="1" shapeId="0" xr:uid="{60C3A99C-00D3-4E84-9ECC-B350D471BC9C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J54" authorId="0" shapeId="0" xr:uid="{2F8760A0-FB77-4F69-ABE9-93619703D09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K54" authorId="1" shapeId="0" xr:uid="{E2815CB5-B932-43E8-8BFD-FE6BB65E011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54" authorId="0" shapeId="0" xr:uid="{7B0E0462-BA84-4076-AFF9-62E20228D88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4" authorId="0" shapeId="0" xr:uid="{DE0A19D2-2F92-4D38-B0B3-402DCCBCB64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4" authorId="0" shapeId="0" xr:uid="{0BAC0D68-CC4E-445B-8535-FB630C657E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4" authorId="0" shapeId="0" xr:uid="{DE5F52C5-F3C9-48EC-9EA3-63A2ED874DC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5" authorId="0" shapeId="0" xr:uid="{DBE4C700-3F5C-43C6-A871-2828384D2591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K55" authorId="0" shapeId="0" xr:uid="{42F7466E-62CA-4606-A403-FDF5E93531F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55" authorId="0" shapeId="0" xr:uid="{9A2504F1-4B15-4F9A-8079-7D1DF5CF541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5" authorId="0" shapeId="0" xr:uid="{E8AD0081-BD0D-4242-8DA5-780827D1922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5" authorId="0" shapeId="0" xr:uid="{12D4B827-7C9C-47FF-BA5F-B9F26E5AE05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5" authorId="1" shapeId="0" xr:uid="{9AF0BA39-BFC7-4C3E-937C-916CD951B87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J56" authorId="0" shapeId="0" xr:uid="{48CCC0BD-9E72-4518-BDD1-EAE6BF2B110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K56" authorId="1" shapeId="0" xr:uid="{A599D24C-7734-46B9-ABEA-D473757D03BA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N56" authorId="0" shapeId="0" xr:uid="{82562798-80BD-4FA0-83E2-D672F7DADF8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6" authorId="0" shapeId="0" xr:uid="{0CCD705F-D190-45B8-B66E-A8DFE1F872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6" authorId="0" shapeId="0" xr:uid="{FE3092A1-11A0-47A2-91FC-2B9FD853C74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6" authorId="0" shapeId="0" xr:uid="{5D45C67E-680C-436B-B04D-246DE2C4E9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7" authorId="0" shapeId="0" xr:uid="{18493EE0-C340-46E6-911B-52415B94F486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K57" authorId="0" shapeId="0" xr:uid="{852F8232-7F8C-4296-A800-24AD39668D43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M57" authorId="0" shapeId="0" xr:uid="{E0E2C245-CB48-48E3-81B9-E21B9400FE6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7" authorId="0" shapeId="0" xr:uid="{D2EBB519-0A1A-41C0-891B-F17FF65202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57" authorId="0" shapeId="0" xr:uid="{E40BCBB7-617A-4576-A72C-D6ADC1EB62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57" authorId="1" shapeId="0" xr:uid="{5A8D1858-E631-4F78-9EF9-F73E82403586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O58" authorId="0" shapeId="0" xr:uid="{1C72D1D2-143D-4E71-872C-1F6A2454B44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8" authorId="0" shapeId="0" xr:uid="{B1D9FF79-38EB-451D-8A69-D3AD82069D7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R58" authorId="1" shapeId="0" xr:uid="{54604592-6287-4A34-B544-48747BB920B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58" authorId="0" shapeId="0" xr:uid="{F705DCE9-A962-4E8A-8A19-C543F8DF8E8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59" authorId="0" shapeId="0" xr:uid="{DF8BA3C3-A06C-4582-8F5B-F6A2A651F5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59" authorId="0" shapeId="0" xr:uid="{1A6E6116-DBAF-43D3-9FA5-E64D864D50D1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R59" authorId="0" shapeId="0" xr:uid="{82F27DAA-C8E3-4BB8-A512-8E4B2D88021F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59" authorId="1" shapeId="0" xr:uid="{82FA17E5-3C70-4081-9F73-0A3AECFD068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60" authorId="0" shapeId="0" xr:uid="{12CC2071-328F-462E-8381-1C615BC6F405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O60" authorId="0" shapeId="0" xr:uid="{35FE3F7F-CDBE-4947-9B51-07B5EC18703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60" authorId="0" shapeId="0" xr:uid="{850FC28C-547F-4D20-B6A0-DF224CB40CF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60" authorId="0" shapeId="0" xr:uid="{6603AAD8-A2A4-4755-9718-1937BAB8F77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60" authorId="1" shapeId="0" xr:uid="{6B5FCB05-0593-42F4-B703-CAE6C216A640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60" authorId="0" shapeId="0" xr:uid="{81EEB673-3A2D-4BD2-948E-92A1C200BB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61" authorId="0" shapeId="0" xr:uid="{062B9E2F-429A-44DF-BEFF-8C5D15C96A11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M61" authorId="0" shapeId="0" xr:uid="{1E42C5CF-FE46-4B38-B25B-F7C5648C628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61" authorId="0" shapeId="0" xr:uid="{5D992BF6-FA69-4005-82F8-4556BD4C60A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61" authorId="0" shapeId="0" xr:uid="{7D7127C8-3115-49FA-BD42-187FD97DDC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61" authorId="0" shapeId="0" xr:uid="{BCBD8EE3-8735-4C97-9D98-9219B591B6BC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61" authorId="1" shapeId="0" xr:uid="{B0BFDF7A-7DB0-4C16-9D16-AF8B3EF2B76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O62" authorId="0" shapeId="0" xr:uid="{B230E9E5-E9AC-409C-B65D-F589566EF24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62" authorId="0" shapeId="0" xr:uid="{3044F8C4-4EA1-4D7C-955C-EB885E1FC2D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62" authorId="0" shapeId="0" xr:uid="{4CE7F26F-5EF8-407B-93C9-38BBE0B5581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S62" authorId="0" shapeId="0" xr:uid="{71BD3D1E-B518-4234-AD93-21CD9A19C04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63" authorId="0" shapeId="0" xr:uid="{58EC5548-896B-4C6F-91DD-7FF9A5E9AF9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63" authorId="0" shapeId="0" xr:uid="{1EB60D41-8844-434E-B4F1-3D3C39457B3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63" authorId="0" shapeId="0" xr:uid="{EB274CBA-808D-41AA-8922-EB4FF5FE139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S63" authorId="1" shapeId="0" xr:uid="{98B0FAF2-E7B5-4166-9B7C-CF842E1AE44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P74" authorId="0" shapeId="0" xr:uid="{14C6FD10-D0EE-4AD9-BBA5-6225502E726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R74" authorId="0" shapeId="0" xr:uid="{5E2690F2-F294-4753-BE9B-1F0FC5021568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74" authorId="0" shapeId="0" xr:uid="{8F9675DF-8E99-43C7-B52A-3C1C811CAA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75" authorId="0" shapeId="0" xr:uid="{BF7B23DF-FCED-41D1-A7F0-489A9F9CF370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R75" authorId="1" shapeId="0" xr:uid="{41AA19A3-284F-40CB-854A-B32A2C09306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75" authorId="0" shapeId="0" xr:uid="{324BB020-9A8A-4EA6-9B61-80ACC8B346A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6" authorId="0" shapeId="0" xr:uid="{7093D52F-7C1E-4C70-BA97-106670C4247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R76" authorId="0" shapeId="0" xr:uid="{636D2FD1-1FE0-4F85-83E7-BA2139CD4E6F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76" authorId="0" shapeId="0" xr:uid="{971AC150-A04E-494C-97C9-7E84B25A54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7" authorId="0" shapeId="0" xr:uid="{BD41872C-A158-48C9-9DA2-29CCC667B334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R77" authorId="1" shapeId="0" xr:uid="{C25966D0-2373-447B-9BB6-2E3EDE18956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77" authorId="0" shapeId="0" xr:uid="{93EB8C5D-70AE-4EB9-8794-214AC792B48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8" authorId="0" shapeId="0" xr:uid="{304DF0CD-D3D2-4B66-B74D-684A4734037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R78" authorId="0" shapeId="0" xr:uid="{9D379801-A8BA-4D6A-8980-651456A2579E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S78" authorId="0" shapeId="0" xr:uid="{7DE14121-C164-45C3-9451-275C79B57EF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9" authorId="0" shapeId="0" xr:uid="{82687168-FA4C-4FC4-AC18-548F51A622C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R79" authorId="1" shapeId="0" xr:uid="{867474B1-BA66-434C-B168-B488A1C44F6F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S79" authorId="0" shapeId="0" xr:uid="{2161F7B4-F737-4581-9A57-70C8C48481F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88" authorId="0" shapeId="0" xr:uid="{3D9BCF64-F606-456D-B418-FFB6DDB82ED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88" authorId="0" shapeId="0" xr:uid="{1D22B856-A789-4AA9-8469-17EEB631ED63}">
      <text>
        <r>
          <rPr>
            <sz val="9"/>
            <color indexed="81"/>
            <rFont val="HG丸ｺﾞｼｯｸM-PRO"/>
            <family val="3"/>
            <charset val="128"/>
          </rPr>
          <t>AM推奨
中山道→池袋→目白→高田馬場→新大久保→青山霊園(休憩)</t>
        </r>
      </text>
    </comment>
    <comment ref="M88" authorId="0" shapeId="0" xr:uid="{6187146C-2D9C-4F3A-BF57-1BD151D1DAF2}">
      <text>
        <r>
          <rPr>
            <sz val="9"/>
            <color indexed="81"/>
            <rFont val="HG丸ｺﾞｼｯｸM-PRO"/>
            <family val="3"/>
            <charset val="128"/>
          </rPr>
          <t>AM推奨
若木通り→上板橋駅→日大板橋病院→池袋→明治通り→新宿→西新宿→新宿中央公園(休憩)</t>
        </r>
      </text>
    </comment>
    <comment ref="N88" authorId="0" shapeId="0" xr:uid="{C8B33A59-8FE1-4932-9F0A-6C460FB3A213}">
      <text>
        <r>
          <rPr>
            <sz val="9"/>
            <color indexed="81"/>
            <rFont val="HG丸ｺﾞｼｯｸM-PRO"/>
            <family val="3"/>
            <charset val="128"/>
          </rPr>
          <t>AM推奨
銀座→東京駅→大手町→日本橋</t>
        </r>
      </text>
    </comment>
    <comment ref="O88" authorId="0" shapeId="0" xr:uid="{A3EE0CFF-EE6C-44A4-97B6-6E5BBA80795B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88" authorId="1" shapeId="0" xr:uid="{19105BE9-5F6C-4538-90D7-3AEF3C5C12A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Q88" authorId="2" shapeId="0" xr:uid="{26BE2E9E-A102-4A79-B196-09C692E811ED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T88" authorId="0" shapeId="0" xr:uid="{90357CAF-6AA1-458A-898A-E16C2C32A988}">
      <text>
        <r>
          <rPr>
            <sz val="9"/>
            <color indexed="81"/>
            <rFont val="HG丸ｺﾞｼｯｸM-PRO"/>
            <family val="3"/>
            <charset val="128"/>
          </rPr>
          <t>高速に不安が残る人用の補強
※やらなくても良い</t>
        </r>
      </text>
    </comment>
    <comment ref="U88" authorId="3" shapeId="0" xr:uid="{2B9BEAF4-FE06-426D-8315-6B405A872551}">
      <text>
        <r>
          <rPr>
            <b/>
            <sz val="9"/>
            <color indexed="81"/>
            <rFont val="MS P ゴシック"/>
            <family val="3"/>
            <charset val="128"/>
          </rPr>
          <t>いくつか課題を与え、
新人さん達だけで、運転研修させる</t>
        </r>
      </text>
    </comment>
    <comment ref="AB88" authorId="0" shapeId="0" xr:uid="{99FF9CD2-9326-442F-BB7A-DBDA927E5046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88" authorId="0" shapeId="0" xr:uid="{74EBA053-68A7-4AF6-A70F-2CFF846A4157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88" authorId="1" shapeId="0" xr:uid="{9AEDF879-54DF-4A67-AA3F-842041D5884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F88" authorId="0" shapeId="0" xr:uid="{D2E55CF6-71D3-4952-B980-AE3F4DBF28D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88" authorId="0" shapeId="0" xr:uid="{E29A92C4-6226-4415-BA89-1BE9ADE87BAA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88" authorId="2" shapeId="0" xr:uid="{5BFEE34A-B4E6-41C6-AF6C-C6138C02F01B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J89" authorId="1" shapeId="0" xr:uid="{FE51226F-1DC2-43EF-A2C6-636A68D15A66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L89" authorId="0" shapeId="0" xr:uid="{D7470EDD-848F-487D-9DA0-1012314230E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89" authorId="0" shapeId="0" xr:uid="{E463D29F-E8C8-4A64-8A40-B9E9F299E5AE}">
      <text>
        <r>
          <rPr>
            <sz val="9"/>
            <color indexed="81"/>
            <rFont val="HG丸ｺﾞｼｯｸM-PRO"/>
            <family val="3"/>
            <charset val="128"/>
          </rPr>
          <t>PM推奨
新宿駅西口地下→バスタ→NHK→渋谷→野沢通り→蛇崩交差点→三宿→三軒茶屋→世田谷営業所</t>
        </r>
      </text>
    </comment>
    <comment ref="N89" authorId="0" shapeId="0" xr:uid="{EA7A09A2-9CC3-40F1-8C73-6514DA5CC4C9}">
      <text>
        <r>
          <rPr>
            <sz val="9"/>
            <color indexed="81"/>
            <rFont val="HG丸ｺﾞｼｯｸM-PRO"/>
            <family val="3"/>
            <charset val="128"/>
          </rPr>
          <t>PM推奨
日比谷→愛宕→浜松町→品川→五反田→大崎→目黒→恵比寿→代官山→渋谷→原宿→千駄ヶ谷トンネル</t>
        </r>
      </text>
    </comment>
    <comment ref="O89" authorId="0" shapeId="0" xr:uid="{A7D7A3A3-3236-46C8-BA59-EAA9A0AAECD7}">
      <text>
        <r>
          <rPr>
            <sz val="9"/>
            <color indexed="81"/>
            <rFont val="HG丸ｺﾞｼｯｸM-PRO"/>
            <family val="3"/>
            <charset val="128"/>
          </rPr>
          <t>PM推奨
神楽坂→飯田橋→文京区→秋葉原→上野→浅草→スカイツリー→台東営業所</t>
        </r>
      </text>
    </comment>
    <comment ref="P89" authorId="0" shapeId="0" xr:uid="{FDB833A1-D391-46D3-AE94-8C8541E39A2E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Q89" authorId="3" shapeId="0" xr:uid="{577BF278-6CD9-4242-8CD5-76E808B2B0F5}">
      <text>
        <r>
          <rPr>
            <b/>
            <sz val="9"/>
            <color indexed="81"/>
            <rFont val="MS P ゴシック"/>
            <family val="3"/>
            <charset val="128"/>
          </rPr>
          <t>洗車について詳しく教える
（洗車実地研修）</t>
        </r>
      </text>
    </comment>
    <comment ref="T89" authorId="0" shapeId="0" xr:uid="{0B699E11-E3D3-4093-B8CB-11F25BA5E90C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U89" authorId="3" shapeId="0" xr:uid="{121EDD16-AA70-41C5-9E1C-5FB3E2E744EC}">
      <text>
        <r>
          <rPr>
            <b/>
            <sz val="9"/>
            <color indexed="81"/>
            <rFont val="MS P ゴシック"/>
            <family val="3"/>
            <charset val="128"/>
          </rPr>
          <t>新人さん自身で課題を作り、運転研修させる</t>
        </r>
      </text>
    </comment>
    <comment ref="AB89" authorId="0" shapeId="0" xr:uid="{A5D9FF09-1C59-4B87-9F34-38C1262EE89D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89" authorId="0" shapeId="0" xr:uid="{97A1212C-8E58-4970-87DD-19B00EFA76FB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89" authorId="0" shapeId="0" xr:uid="{F1B7C7EC-89C3-4D04-BCAD-5337DDDB1C0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F89" authorId="1" shapeId="0" xr:uid="{DBD9072A-0DD5-4B2E-AD46-59667E67B508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G89" authorId="0" shapeId="0" xr:uid="{77960B0B-8B11-4DB4-A36B-9FCAB9CC4D22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89" authorId="0" shapeId="0" xr:uid="{3DBC48C9-6162-41B1-A1BF-5633166CF6F3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K94" authorId="1" shapeId="0" xr:uid="{955DBD32-9230-4DB1-A95A-C2FFD2A0D400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L94" authorId="0" shapeId="0" xr:uid="{4E39B7D3-00E3-487F-ADCF-C7C7CAB218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4" authorId="0" shapeId="0" xr:uid="{8899EC19-1DF9-4713-89A6-C2CF20EFED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4" authorId="0" shapeId="0" xr:uid="{2C58583F-3E4E-4C84-8573-9C3C9016905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94" authorId="0" shapeId="0" xr:uid="{A3E205B6-36C1-45AA-BD40-5643F5BF93A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4" authorId="0" shapeId="0" xr:uid="{7310004F-483C-43C2-B62F-80A7E45B6F6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95" authorId="0" shapeId="0" xr:uid="{AD1EB265-BE59-4203-9055-5E8B498E676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95" authorId="0" shapeId="0" xr:uid="{AAB243A1-4FF8-4DA0-AF48-8DE52B9717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5" authorId="0" shapeId="0" xr:uid="{1D439FAB-C8AD-43CB-BCBD-1387DDE97E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5" authorId="0" shapeId="0" xr:uid="{8D70A1E1-D432-4EEC-A98F-DAE40FF3DA2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95" authorId="0" shapeId="0" xr:uid="{8F7C3906-932A-4FFA-A356-9BCED02D0EA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5" authorId="1" shapeId="0" xr:uid="{AC6CB2D4-F1FC-4513-AFAA-DF21C38C6876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L96" authorId="0" shapeId="0" xr:uid="{29565251-0DB6-4421-A22C-36823976AF1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96" authorId="0" shapeId="0" xr:uid="{35B91D04-0692-411C-B6A4-CC7D37E5F86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96" authorId="0" shapeId="0" xr:uid="{1FD63ED5-47A4-406E-BF61-E3E640EC31D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96" authorId="0" shapeId="0" xr:uid="{92B625D7-7C95-4267-9040-72FE1034EBD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96" authorId="0" shapeId="0" xr:uid="{3AB3361F-04B3-4F5D-BA35-E12283F4864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96" authorId="0" shapeId="0" xr:uid="{16C09BBB-F042-42ED-B872-78D2E4780D5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96" authorId="0" shapeId="0" xr:uid="{F8B0BFB5-4776-4071-9573-83DCC0402F6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96" authorId="0" shapeId="0" xr:uid="{61C7D7F4-8385-4636-B6F1-88E4B4B715E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96" authorId="0" shapeId="0" xr:uid="{FF779EAC-7300-48DE-8F07-AF55EB9B7E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96" authorId="0" shapeId="0" xr:uid="{F5E1158C-5646-4B5E-983F-847F1FCD356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96" authorId="0" shapeId="0" xr:uid="{DB05E0E9-8E72-46B0-85B1-A1CD5319731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96" authorId="0" shapeId="0" xr:uid="{43684E39-D1B6-41AF-9490-E2F26EC18D6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96" authorId="0" shapeId="0" xr:uid="{0BE8D322-6258-4584-8769-49783FF8FF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96" authorId="0" shapeId="0" xr:uid="{7297496C-08BD-43B0-8CC3-562A0624788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J96" authorId="0" shapeId="0" xr:uid="{07620BED-1BE2-4C37-BE76-EDC59FF06C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96" authorId="0" shapeId="0" xr:uid="{E0498E4C-1BD0-4EAB-B0A3-2D43855CF72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N96" authorId="0" shapeId="0" xr:uid="{8B6BC19A-59F6-455E-A01D-7EA8B0009CB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96" authorId="0" shapeId="0" xr:uid="{FB055DC7-CD86-4B2B-8AF4-19E9ADA3F5B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6" authorId="1" shapeId="0" xr:uid="{FCCC4D5B-070C-4692-85FF-3910A39C734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L97" authorId="0" shapeId="0" xr:uid="{AA8F79CA-EF83-4B69-B173-DB32703A84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97" authorId="0" shapeId="0" xr:uid="{F00CFD57-1592-43C3-84D0-48C67E39206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97" authorId="0" shapeId="0" xr:uid="{92072C15-2DEF-47A6-8F17-C9F8A8E564E8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97" authorId="0" shapeId="0" xr:uid="{78F8CBA7-4105-468F-BC97-DF0940A8712F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97" authorId="0" shapeId="0" xr:uid="{D25A06FD-8DB5-4331-9FB8-4CC2EEC759C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97" authorId="0" shapeId="0" xr:uid="{21457DE9-1B9B-42CD-BEBC-63D63EA1DEF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97" authorId="0" shapeId="0" xr:uid="{6F6BED8F-9919-46CE-896E-C826848E423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97" authorId="0" shapeId="0" xr:uid="{FF73E3FC-07A9-4035-A237-2F2F3637422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97" authorId="0" shapeId="0" xr:uid="{D964BA3E-5381-42DA-9B3B-6FFB9C5708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97" authorId="0" shapeId="0" xr:uid="{4DCC3954-4805-4F2A-A2D8-CBAE3F004C1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97" authorId="0" shapeId="0" xr:uid="{F0E27649-CEB4-4B9A-99A0-5B95A4A50A7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97" authorId="0" shapeId="0" xr:uid="{FD820290-6D96-4CAE-B9FE-63D85AB7EAF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97" authorId="0" shapeId="0" xr:uid="{BFE82C5E-DFA8-48D4-8926-F2E576489C51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G97" authorId="0" shapeId="0" xr:uid="{91865EA2-EAAB-49E3-B1D7-EDFD07B3646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97" authorId="0" shapeId="0" xr:uid="{73F3F593-4FEC-4A9F-A7BA-7525507ED92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97" authorId="0" shapeId="0" xr:uid="{79D74EA8-2D2F-4D16-8FE6-65CB7B7BF1AB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J97" authorId="1" shapeId="0" xr:uid="{CC026F78-D1B2-482B-8FB4-CC115E09AA5F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K97" authorId="1" shapeId="0" xr:uid="{DAE829AF-7748-483C-82B4-C7850A58C441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O97" authorId="0" shapeId="0" xr:uid="{19596025-5A84-4E71-9FC4-32645A3AD6C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7" authorId="0" shapeId="0" xr:uid="{65C998B1-5EA7-4264-9D7C-83003E6BD4C6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00" authorId="0" shapeId="0" xr:uid="{A6AAD640-0CCB-4E4E-99C6-C3768173E2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100" authorId="0" shapeId="0" xr:uid="{672784A1-C555-4782-A881-BA9CE412F4C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100" authorId="0" shapeId="0" xr:uid="{E89F5125-4F3A-4EF6-94F4-51812F3A867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101" authorId="0" shapeId="0" xr:uid="{74CBD037-83CE-4664-B72D-76E2984092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101" authorId="0" shapeId="0" xr:uid="{F0182884-77B7-4AE5-998A-463B3E14755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101" authorId="0" shapeId="0" xr:uid="{9BFC23C1-C938-4296-A220-08BE74ADE28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国際自動車株式会社(城北) 板橋営業所 秋葉亮</author>
    <author>秋葉亮 板橋営業所 国際自動車株式会社(T2)</author>
  </authors>
  <commentList>
    <comment ref="T3" authorId="0" shapeId="0" xr:uid="{48B71647-41AF-4F7B-8B79-101561898F2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19" authorId="0" shapeId="0" xr:uid="{EDEBC27E-E9E9-409D-B1B8-C3EDD366CB8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20" authorId="0" shapeId="0" xr:uid="{6D283836-F1B9-4686-9E9D-C3584CE34A8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21" authorId="0" shapeId="0" xr:uid="{8CBD7033-DFA4-4A64-925D-1D94E5658A9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1" authorId="0" shapeId="0" xr:uid="{EAF5781C-2A6F-46F6-8F29-B853786B6F4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M22" authorId="0" shapeId="0" xr:uid="{E097A0E1-CB2B-4C74-8E7B-772655C0462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22" authorId="0" shapeId="0" xr:uid="{22C42A4C-DE4E-49B8-883A-C70FA3FFDB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3" authorId="0" shapeId="0" xr:uid="{4130FBBF-9936-4BCB-8300-2F06BE4F7704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23" authorId="0" shapeId="0" xr:uid="{E302D6C9-C2BC-4D32-ADE2-DE2289FE80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3" authorId="1" shapeId="0" xr:uid="{F52E9CD0-7E07-489E-9391-1EB0E410990C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S23" authorId="1" shapeId="0" xr:uid="{E53C0253-566D-4A81-B313-1CE63A473378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T23" authorId="0" shapeId="0" xr:uid="{A7F5B4E7-9C20-4A3B-B371-E5C4AC6E6A2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24" authorId="0" shapeId="0" xr:uid="{27FD1F1A-A019-4D2D-AAA9-F6552C23469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25" authorId="0" shapeId="0" xr:uid="{7EC431FF-3DEB-470C-8DD8-99F508140D62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K29" authorId="0" shapeId="0" xr:uid="{A421B46C-2641-47D2-805F-9D9EA3502C1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30" authorId="0" shapeId="0" xr:uid="{4494795F-5897-4C6B-85AD-4E652F7484D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31" authorId="0" shapeId="0" xr:uid="{0532A48F-5AA8-40DC-8043-D72878D4F29D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W32" authorId="0" shapeId="0" xr:uid="{63B062A5-ED68-492E-BF99-90217E80F55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W33" authorId="0" shapeId="0" xr:uid="{9CEABE06-46D6-450A-AD53-74497AD1072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J34" authorId="0" shapeId="0" xr:uid="{61664707-0CA2-42C7-9461-2DDECA0EB60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M34" authorId="0" shapeId="0" xr:uid="{B7B56899-7267-4FF2-930A-6CDE7D5AA4F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34" authorId="0" shapeId="0" xr:uid="{676736F2-09EB-4AE3-82A0-29D7281E0A1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34" authorId="1" shapeId="0" xr:uid="{9C121738-0942-47FE-815B-4F2920DD275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34" authorId="0" shapeId="0" xr:uid="{C06B8144-A784-481E-8608-1B51ED2D2A2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35" authorId="0" shapeId="0" xr:uid="{818B168F-659B-40D7-B19E-F327761A4B1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35" authorId="0" shapeId="0" xr:uid="{C9413DF1-0C93-4403-91A5-DB65CEA0C6C6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35" authorId="1" shapeId="0" xr:uid="{80EDB1A0-5EDD-4550-ABD0-D4AD28009416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T35" authorId="0" shapeId="0" xr:uid="{906361E3-4861-4EC8-9B4C-C9FBB6F449F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36" authorId="0" shapeId="0" xr:uid="{70F73080-656E-4562-8180-C81B17A2216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36" authorId="0" shapeId="0" xr:uid="{C90F02DE-D52F-4B96-B763-77259E9AF3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37" authorId="0" shapeId="0" xr:uid="{8DC5172B-8619-4992-ABED-70B5C9CDB47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37" authorId="0" shapeId="0" xr:uid="{7276519C-6D0C-4CB8-A94A-96B86B1E649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38" authorId="0" shapeId="0" xr:uid="{48E9C5BE-5180-4779-8617-3F446D10B97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38" authorId="0" shapeId="0" xr:uid="{C5290FB9-4A2C-4BD4-8696-0C85CF4311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39" authorId="0" shapeId="0" xr:uid="{9471BE4C-AD01-432B-B7AB-B761DF33A05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39" authorId="0" shapeId="0" xr:uid="{F5BFE8BC-7A76-46FF-93B1-2D06EB98502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40" authorId="0" shapeId="0" xr:uid="{C02C85B1-1E96-4EA0-8377-2040AEDFEA3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41" authorId="0" shapeId="0" xr:uid="{E057699E-995B-46C1-8C85-F162BED2528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41" authorId="0" shapeId="0" xr:uid="{3D6D4A03-A326-4E2E-9D13-FF161AAA747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42" authorId="0" shapeId="0" xr:uid="{A66D700D-9A38-43B3-AAA7-1C3EDB7DEC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42" authorId="0" shapeId="0" xr:uid="{F8D9EAC2-A3FE-45AC-BB13-1B55D9974F5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42" authorId="0" shapeId="0" xr:uid="{751C9EEA-6FF8-49C2-A812-67191E131E3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2" authorId="0" shapeId="0" xr:uid="{ADE092DE-DEEF-4B21-97A5-0BFD4D97D25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42" authorId="0" shapeId="0" xr:uid="{142CA24E-8079-43A1-A3AD-34E7F2FAD5A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42" authorId="0" shapeId="0" xr:uid="{9E98622B-69E7-4D40-B779-5C5E32AA4DC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42" authorId="0" shapeId="0" xr:uid="{5A39CA6A-DA5F-4A94-8E25-E4A75D02645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42" authorId="0" shapeId="0" xr:uid="{B70F894D-3AA4-408E-A111-836E409BF16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42" authorId="0" shapeId="0" xr:uid="{7084D24D-39CC-44D6-9257-1049537A892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2" authorId="0" shapeId="0" xr:uid="{C9B9B2F6-CB36-410D-900B-837B0AB7033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2" authorId="0" shapeId="0" xr:uid="{FFE4ADAE-7750-48FC-ACBF-0CFAF6E9FED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3" authorId="0" shapeId="0" xr:uid="{6CB390B7-9FA3-43EE-9840-F14D459B08E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3" authorId="0" shapeId="0" xr:uid="{549FF413-A63A-41F2-BB0F-B851ABEA58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3" authorId="0" shapeId="0" xr:uid="{8A6CBB94-A8A5-4C27-A6B3-53F2F45A138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43" authorId="0" shapeId="0" xr:uid="{FF60FBDA-5546-439C-A4CE-E194B1EE314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44" authorId="0" shapeId="0" xr:uid="{786A938C-C655-4542-8411-6F1DC2E6E4C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44" authorId="0" shapeId="0" xr:uid="{BE33E35E-F5E8-44A6-B28B-1F14684F2F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44" authorId="0" shapeId="0" xr:uid="{3F07A8E8-24F6-4E2A-A661-457EAE379C6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4" authorId="0" shapeId="0" xr:uid="{526AEA14-6278-405A-BDB4-8F100B92AC9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44" authorId="0" shapeId="0" xr:uid="{2ED8586B-1DBB-44FE-8BEF-F90B9A6044F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44" authorId="0" shapeId="0" xr:uid="{EC7E589A-B5F5-48EC-BB17-6C563503A87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44" authorId="0" shapeId="0" xr:uid="{8AEC68B6-0AA0-4F34-BC38-17E16D0DA00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44" authorId="0" shapeId="0" xr:uid="{31409689-1666-472A-95D5-CEF3F8DDD56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44" authorId="0" shapeId="0" xr:uid="{0C9DC789-8A00-421E-AE7D-0BCF1F8324D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44" authorId="0" shapeId="0" xr:uid="{533F52E7-1F29-4041-9592-DC364B3408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4" authorId="0" shapeId="0" xr:uid="{E2B75711-9C13-47D4-9829-C69771FAF7F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5" authorId="0" shapeId="0" xr:uid="{134B1A70-9789-4C35-B6DF-A3EC90A7B21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5" authorId="0" shapeId="0" xr:uid="{2199BC4D-53A3-4308-BF0C-5D154D8ED6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5" authorId="0" shapeId="0" xr:uid="{B7791C43-1A73-42C1-BA8F-E8514B9CDA8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46" authorId="0" shapeId="0" xr:uid="{3DE50693-E27C-474F-9A8A-DF79E35AE39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46" authorId="0" shapeId="0" xr:uid="{B23DA883-D51A-4B93-9585-F83C5263DE9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46" authorId="0" shapeId="0" xr:uid="{840225F0-B79A-4459-B575-E24E33920CC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6" authorId="0" shapeId="0" xr:uid="{0AD53DA4-EE0C-4A86-B43A-2DCACA48110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46" authorId="0" shapeId="0" xr:uid="{386D7D40-6F7B-407F-B64E-2F8389BE56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46" authorId="0" shapeId="0" xr:uid="{57EF4ACF-82A2-4011-AF33-A78C851A48F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46" authorId="0" shapeId="0" xr:uid="{96087EEB-D86C-4D35-8633-7A54CE4448E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46" authorId="0" shapeId="0" xr:uid="{8AEB7B66-6342-45A0-AD55-84F015DD72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46" authorId="0" shapeId="0" xr:uid="{1C7E938A-81E8-4BD3-88CF-EE2FF8324D5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6" authorId="0" shapeId="0" xr:uid="{4B5E5030-C2B4-4297-9342-84926E080D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6" authorId="0" shapeId="0" xr:uid="{D3D0539C-47A8-47AA-8D12-5D10415340E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46" authorId="0" shapeId="0" xr:uid="{B7436478-F970-44DC-BDED-72C6D8401FC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46" authorId="0" shapeId="0" xr:uid="{2B289269-AFCE-4151-AAF7-B21FD414205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46" authorId="0" shapeId="0" xr:uid="{7F6AE528-A4B4-48C0-82AF-C5A00DEEB0F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46" authorId="0" shapeId="0" xr:uid="{D2B48690-21C6-44A9-980A-3F792B478D1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7" authorId="0" shapeId="0" xr:uid="{744118C3-FFEA-4904-B5B5-5FD24D03467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7" authorId="0" shapeId="0" xr:uid="{CAA4F92F-A8B1-4FD9-B796-033D6C589CB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7" authorId="0" shapeId="0" xr:uid="{572F2410-B955-47D8-B432-FC9171111B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47" authorId="0" shapeId="0" xr:uid="{6C28130B-BC47-42E6-840D-593EFF052F2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47" authorId="0" shapeId="0" xr:uid="{37952A35-DF97-4ED3-A70B-0799E307BCB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47" authorId="0" shapeId="0" xr:uid="{0577EA7D-3876-4F1D-9407-E3741606374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48" authorId="0" shapeId="0" xr:uid="{9ED2C47E-26F6-4726-9937-B8D3131C658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48" authorId="0" shapeId="0" xr:uid="{300B273E-C096-4F43-8AAE-4BF634B5F2B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48" authorId="0" shapeId="0" xr:uid="{8DEFAF2A-BA41-454B-8D57-8777FC817E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8" authorId="0" shapeId="0" xr:uid="{0D70900B-CA2F-4660-AA80-10F8E7CE70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48" authorId="0" shapeId="0" xr:uid="{0EE0B9F1-D553-42AD-89C5-9A7250CA2D9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48" authorId="0" shapeId="0" xr:uid="{849ABC14-0598-4DE5-BAF3-35126B973C3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48" authorId="0" shapeId="0" xr:uid="{53918372-4EE2-42E3-92CC-A87AFA9A95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48" authorId="0" shapeId="0" xr:uid="{65767D68-9CB5-406B-BBA7-6B6E7BAA4C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48" authorId="0" shapeId="0" xr:uid="{955E1A01-7B5A-48EC-98CF-3F57565F7AF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48" authorId="0" shapeId="0" xr:uid="{1ADDA32F-A816-4621-8924-F9D2C00FC3F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8" authorId="0" shapeId="0" xr:uid="{5AA397CA-42AA-40F7-A1BD-B1EFD596444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8" authorId="0" shapeId="0" xr:uid="{93214E0F-78A3-4107-B2ED-E4D2D0BFE8D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49" authorId="0" shapeId="0" xr:uid="{628A22A5-0F9F-4802-AC43-62FBDBE5A3A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49" authorId="0" shapeId="0" xr:uid="{ED9CA4E6-CEEC-49AB-8C34-1516CE55C5F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49" authorId="0" shapeId="0" xr:uid="{3DB2249E-DF83-422F-AA78-93BBBD4ECE4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49" authorId="0" shapeId="0" xr:uid="{52F8A188-790E-4E6A-A6CE-D711A2E005B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50" authorId="0" shapeId="0" xr:uid="{49F84529-07F8-427C-822A-777762AAE70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50" authorId="0" shapeId="0" xr:uid="{E02A1272-B636-476E-AF28-8F3D615982F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50" authorId="1" shapeId="0" xr:uid="{8E7E29F9-9E25-4B8C-863D-153B24B0CDC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50" authorId="0" shapeId="0" xr:uid="{31429298-2634-48D0-8EAC-C21D664FE1F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50" authorId="0" shapeId="0" xr:uid="{48B8B878-AE11-413A-AF29-D0BCFF42F2D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50" authorId="0" shapeId="0" xr:uid="{F351CC63-3CC3-4D1D-A5D8-61C03DA9892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50" authorId="0" shapeId="0" xr:uid="{E8F11414-A2F5-4892-A640-EFC8D56A112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50" authorId="0" shapeId="0" xr:uid="{2DBC6581-203C-4772-8778-EDACCF696EE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50" authorId="0" shapeId="0" xr:uid="{6811CFEE-D6B5-4E7E-9404-FCCC62B4F45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50" authorId="0" shapeId="0" xr:uid="{CD8A1243-AB27-49CA-BC65-1FEF3F14003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50" authorId="0" shapeId="0" xr:uid="{E0510504-F8B6-490E-9CAB-D9CA851AC86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0" authorId="0" shapeId="0" xr:uid="{073A6866-F743-4324-A594-9A961807EC4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51" authorId="0" shapeId="0" xr:uid="{2BBE88C0-E1CB-4C2D-8FF9-1529A4ED1B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51" authorId="0" shapeId="0" xr:uid="{A6363327-D427-4082-9857-B0804D9F7F42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51" authorId="1" shapeId="0" xr:uid="{034B1AF6-2156-4B19-841F-280FD0D31A9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51" authorId="0" shapeId="0" xr:uid="{B0BF5ACE-054B-4093-B03C-B7F3EAD87D1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1" authorId="0" shapeId="0" xr:uid="{D40E8657-0681-43D2-A4A4-AC08C144EA7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51" authorId="0" shapeId="0" xr:uid="{A08D8256-7314-469F-8E18-79C5A79FEE3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M52" authorId="0" shapeId="0" xr:uid="{C8B6A9C5-4D5A-4867-AE7F-C4E8DF1BD84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52" authorId="0" shapeId="0" xr:uid="{A149FA11-273A-40C5-BBAC-4D633BD528F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2" authorId="0" shapeId="0" xr:uid="{1596AB2D-4212-40C2-85DB-7E5C9F397CD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52" authorId="0" shapeId="0" xr:uid="{C6854B56-E3A7-4A3F-B0B6-0ABEADC0BE0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52" authorId="0" shapeId="0" xr:uid="{3AD83C79-9F6E-496E-A2C8-0AAFBE9C6C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52" authorId="0" shapeId="0" xr:uid="{B331CADB-0E8C-4825-A338-56A34375670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52" authorId="0" shapeId="0" xr:uid="{7B50E2D1-937B-420D-AB0A-9AD9DC821CA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52" authorId="0" shapeId="0" xr:uid="{61E05800-9468-460A-A65B-C552DFB94BC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2" authorId="0" shapeId="0" xr:uid="{8FA3312C-AAD3-4303-B9C8-DC729AD12D6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52" authorId="0" shapeId="0" xr:uid="{C1018384-DBF1-4268-91E6-16B2DC832D7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52" authorId="0" shapeId="0" xr:uid="{1352B24D-3F78-4960-9FD4-A7575D66732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2" authorId="0" shapeId="0" xr:uid="{C4814B55-0BD2-4201-BB8F-16CC0A834C3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2" authorId="0" shapeId="0" xr:uid="{F8B7782D-BDEC-4B25-BF43-01EB33AFB8D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53" authorId="0" shapeId="0" xr:uid="{D56055CC-9931-4E12-B154-C0347A8E464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3" authorId="1" shapeId="0" xr:uid="{12716E1F-3BB3-4A76-9FFA-C3B469A0C29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Z53" authorId="0" shapeId="0" xr:uid="{6AC854A3-6A38-4B58-864C-ED471DEADBE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53" authorId="0" shapeId="0" xr:uid="{9265449E-C309-4493-852D-A87E9B92F2D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53" authorId="0" shapeId="0" xr:uid="{F354F68C-6819-427B-B5BE-BC0A24ED93F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3" authorId="0" shapeId="0" xr:uid="{22665217-81F9-4B3B-9B8F-E65C227D193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3" authorId="0" shapeId="0" xr:uid="{C5037BD8-3F49-44B8-B5C2-497C72B04DD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3" authorId="0" shapeId="0" xr:uid="{2DAC3B52-DCE8-4D75-996D-1A4867FFBB7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54" authorId="0" shapeId="0" xr:uid="{3EBFA2D5-E5CD-4D84-BEC6-F15E515450C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54" authorId="0" shapeId="0" xr:uid="{29A9E017-0BBC-417A-9F24-62556E1CA87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4" authorId="0" shapeId="0" xr:uid="{50AE2629-7ACD-4E0B-BEC8-0EDD96C85EF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54" authorId="0" shapeId="0" xr:uid="{2CA1D5E8-B148-4742-ACEA-62A52983104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54" authorId="0" shapeId="0" xr:uid="{2FD5394D-536D-4E1D-B3B9-A9254C3031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54" authorId="0" shapeId="0" xr:uid="{0571A10B-D333-40AF-B257-1DCBE281919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54" authorId="0" shapeId="0" xr:uid="{64E748CB-8DE4-4901-84F8-86AB48245D0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54" authorId="0" shapeId="0" xr:uid="{BBFD2A34-78BF-447F-B9D2-8329D80D412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54" authorId="0" shapeId="0" xr:uid="{87ECCC0A-7C45-433C-8523-56608060C34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4" authorId="0" shapeId="0" xr:uid="{E20A14D5-C906-4EE6-841E-292934F0518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54" authorId="0" shapeId="0" xr:uid="{067C03E7-0E57-4C25-8A13-A5B630AA0A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54" authorId="0" shapeId="0" xr:uid="{68C83BCA-263F-4FCA-980D-03AD552EEA4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4" authorId="0" shapeId="0" xr:uid="{24E2233D-2F65-45D1-909E-82823AE24F8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4" authorId="0" shapeId="0" xr:uid="{807282ED-79EA-4218-9686-243AD67D95F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55" authorId="0" shapeId="0" xr:uid="{BD456945-5071-49F3-95D5-F698C3215C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5" authorId="1" shapeId="0" xr:uid="{10EA4A54-1AB0-4076-A559-8BD9D2F6773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55" authorId="0" shapeId="0" xr:uid="{53A83CD9-0CC2-46FC-A0B3-DC6AC6637C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5" authorId="0" shapeId="0" xr:uid="{7E2E07BF-E81A-4B56-8C8E-2220FB24224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55" authorId="0" shapeId="0" xr:uid="{76AEF82F-440B-4036-9F90-90B43CB16C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5" authorId="0" shapeId="0" xr:uid="{5E25D712-E350-4DE4-B1B2-34A5513C066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5" authorId="0" shapeId="0" xr:uid="{EAF3045E-8A5D-48F8-92E8-98629F7938A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55" authorId="0" shapeId="0" xr:uid="{0535C286-0AEB-46D4-B777-70B749F23F0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56" authorId="0" shapeId="0" xr:uid="{F7FAC133-D35D-4382-919C-BDA87E45B3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56" authorId="0" shapeId="0" xr:uid="{FD83D0CD-A372-4237-B778-2D008838B54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6" authorId="0" shapeId="0" xr:uid="{E3DBE47F-4367-4E92-BE27-7A77D0586DC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56" authorId="0" shapeId="0" xr:uid="{6C828D10-19A6-47DD-8EC3-86F2B292581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56" authorId="0" shapeId="0" xr:uid="{FCFC5646-E47F-4E3B-AC97-2ABD5F3187D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56" authorId="0" shapeId="0" xr:uid="{2B1908B8-EAC4-4ADA-827C-55379ECD245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56" authorId="0" shapeId="0" xr:uid="{940E2062-A66C-44DB-940D-1992614AF1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56" authorId="0" shapeId="0" xr:uid="{91ACBF52-DE40-42FC-A25D-609641F2F4B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56" authorId="0" shapeId="0" xr:uid="{691B4677-3CB7-4628-BA05-AF91EC83231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6" authorId="0" shapeId="0" xr:uid="{360CCF4F-4277-4C78-824A-6D42B82A27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56" authorId="0" shapeId="0" xr:uid="{A2CCE786-136A-4338-8A16-DDA9F8E3968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6" authorId="0" shapeId="0" xr:uid="{61A78885-F064-40F0-98BE-C52261FB250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6" authorId="0" shapeId="0" xr:uid="{28DD91EE-0E4E-4394-AA0E-6D81F32065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57" authorId="0" shapeId="0" xr:uid="{6145A820-444B-42B3-AB8A-1EE01159A1B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57" authorId="1" shapeId="0" xr:uid="{A3AA8F3A-7A1A-41DE-9681-D23B9C833C24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57" authorId="0" shapeId="0" xr:uid="{2080A5B8-66D5-4AC7-9062-B5BF8336ED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57" authorId="0" shapeId="0" xr:uid="{DDD8BC39-060F-4780-BCA9-4B57F2D2DCB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7" authorId="0" shapeId="0" xr:uid="{02315A94-467F-450E-9998-10DCBCD395F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57" authorId="0" shapeId="0" xr:uid="{F0D9FA9B-7AD3-4C0A-84CF-DDA891D642C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57" authorId="0" shapeId="0" xr:uid="{E2875F3B-DE05-4D83-8B52-72406C42500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58" authorId="0" shapeId="0" xr:uid="{C3958467-1A9A-4BA7-9BE9-186F59935C8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58" authorId="1" shapeId="0" xr:uid="{00DFF5D5-79AC-4F25-B501-CDCC1817DDA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58" authorId="0" shapeId="0" xr:uid="{8B9A04F8-09FB-4439-82F2-F073EA27695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58" authorId="0" shapeId="0" xr:uid="{EA3E4E4B-A2CB-4817-8FC0-C24001352D6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58" authorId="0" shapeId="0" xr:uid="{2EF3A13D-229A-4980-AEFF-28B51C2FEC2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58" authorId="0" shapeId="0" xr:uid="{FFA81F68-265C-439D-99FD-CA0104C12C8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58" authorId="0" shapeId="0" xr:uid="{4D42396B-2D53-4464-A7E8-20018487AA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58" authorId="0" shapeId="0" xr:uid="{E310B9E8-A6FB-4008-BAD1-A8E194E1C10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58" authorId="0" shapeId="0" xr:uid="{8B80B036-E8D2-4AD6-B0CC-FC41C26C689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58" authorId="0" shapeId="0" xr:uid="{79604FD6-D0F2-4A31-A980-A4BD54CCFC0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8" authorId="0" shapeId="0" xr:uid="{06606D17-5604-48B8-BC06-6B450C3DF09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58" authorId="0" shapeId="0" xr:uid="{C39A6CE6-2C91-4863-BB6D-8CF9E720F1D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59" authorId="0" shapeId="0" xr:uid="{2C7F351B-5471-4C92-A0B9-1DA5C5190759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59" authorId="0" shapeId="0" xr:uid="{93E7A258-308C-4947-9C6F-A9CF9E99F253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59" authorId="1" shapeId="0" xr:uid="{E51BB7C5-669A-44F3-AC27-8B855340978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59" authorId="0" shapeId="0" xr:uid="{1C296332-1EB8-4074-9031-E5DC99CD99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59" authorId="0" shapeId="0" xr:uid="{0AE28407-F4F4-4799-8621-D55D7C48B6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59" authorId="0" shapeId="0" xr:uid="{71F43F85-41A7-4114-BE35-572BC4628D8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59" authorId="0" shapeId="0" xr:uid="{4F6499F1-4131-460B-9240-187CF8EF1E9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59" authorId="0" shapeId="0" xr:uid="{D8548D0C-79E0-4868-ACB9-D87531E7BB7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60" authorId="0" shapeId="0" xr:uid="{2CC24092-6E3D-4AD7-B294-ABB5D333120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0" authorId="0" shapeId="0" xr:uid="{EB9C4998-1C11-4C52-87D5-C06E1AF2CFF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0" authorId="0" shapeId="0" xr:uid="{1365F521-B4AB-4B73-9503-77821C54396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60" authorId="1" shapeId="0" xr:uid="{36D0DFC3-D72F-4032-88A2-1718FC0483D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60" authorId="0" shapeId="0" xr:uid="{0C571876-16EA-41CF-97A6-8B36F5C9085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60" authorId="0" shapeId="0" xr:uid="{04C759F3-3BC1-4F8F-B021-DC832B051B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60" authorId="0" shapeId="0" xr:uid="{C20612A1-8EC2-45AD-B483-C0F0B263CE1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60" authorId="0" shapeId="0" xr:uid="{4C72E63B-9B09-4E02-8C8C-68E2F8CC72E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60" authorId="0" shapeId="0" xr:uid="{AE0CCD74-4774-45CD-B377-92AC0DFC98E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60" authorId="0" shapeId="0" xr:uid="{1F28C0E3-0578-4DEB-AD46-449CA19EA3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60" authorId="0" shapeId="0" xr:uid="{5A7AD832-8A9D-4237-9DA9-0A17127F73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60" authorId="0" shapeId="0" xr:uid="{EF0483BB-1CC1-4A14-A17F-7184874FCBA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0" authorId="0" shapeId="0" xr:uid="{E01B8886-15EA-45E6-A543-DF45CA023F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61" authorId="0" shapeId="0" xr:uid="{7256346B-5BD2-4190-960D-F0FAC89F2C8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L61" authorId="0" shapeId="0" xr:uid="{7875034C-A2F8-436B-8FEC-ECC095DCDA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61" authorId="0" shapeId="0" xr:uid="{D82E62DB-8DE7-4E6C-81B1-6F08AD81DFB6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61" authorId="1" shapeId="0" xr:uid="{4FDEE1A9-B6AC-484E-A24D-214609DDEB91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61" authorId="0" shapeId="0" xr:uid="{396FF34D-D80A-433B-AD90-A0EC21A6756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61" authorId="0" shapeId="0" xr:uid="{277C8F2E-F938-4BDE-A396-37D8C20CCB4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61" authorId="0" shapeId="0" xr:uid="{2AB2B37E-5AB8-4997-8556-9064FF11F6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1" authorId="0" shapeId="0" xr:uid="{3B441A62-64CA-4FF1-956B-C56A90F20C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61" authorId="0" shapeId="0" xr:uid="{19BB8BBB-86AD-4A2B-AB61-5A15BDDF29F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62" authorId="0" shapeId="0" xr:uid="{ABBEFF04-CD0E-44B8-8923-2AB3C65026F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P62" authorId="0" shapeId="0" xr:uid="{552766F7-D61E-4D18-A674-7E39C7D3E8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62" authorId="0" shapeId="0" xr:uid="{62D3A6DD-E5A7-48B6-AEA1-7250801EF17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62" authorId="0" shapeId="0" xr:uid="{8F325D60-FF0B-40E8-82D9-EEAACDAE875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62" authorId="0" shapeId="0" xr:uid="{3C21B19B-BCD6-43DD-911E-BAE91CA3125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62" authorId="0" shapeId="0" xr:uid="{31C8AB68-5A10-42D8-B31A-6170EDDBD9F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62" authorId="0" shapeId="0" xr:uid="{2E2A7003-6937-43D6-AD0E-E890AE5B926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62" authorId="1" shapeId="0" xr:uid="{C1DC506D-D7CF-484F-BC00-FA063211AA58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A62" authorId="0" shapeId="0" xr:uid="{47F5EAF0-7A0C-496A-A115-0B7578769D4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2" authorId="0" shapeId="0" xr:uid="{AD4C8630-04E5-4C09-BE31-4AAC6DB02F9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2" authorId="0" shapeId="0" xr:uid="{781DBB80-D246-4FB6-BDC3-DA211C236E7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2" authorId="0" shapeId="0" xr:uid="{43E61FFD-1AD8-4C9B-AAA0-70EB7BA8F8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2" authorId="0" shapeId="0" xr:uid="{1462B028-D7C6-41F2-B7F5-7EF46110D4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2" authorId="0" shapeId="0" xr:uid="{F07AFC8B-C80D-47F3-95DE-842BDF6AC64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63" authorId="0" shapeId="0" xr:uid="{03E3B45F-18B0-4F8C-879B-B944CEEB8218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P63" authorId="1" shapeId="0" xr:uid="{377CBED4-1D0D-4C6A-81E7-A03BBF837205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Z63" authorId="0" shapeId="0" xr:uid="{703CC558-1C7E-4CFE-A838-2C1F6DD7B44C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D63" authorId="0" shapeId="0" xr:uid="{575A089A-0338-4BA3-8769-A33C2C6AC30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3" authorId="0" shapeId="0" xr:uid="{04BEEA4F-348F-441B-A475-0077773534B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3" authorId="0" shapeId="0" xr:uid="{974DB5B9-7F77-4661-BDD7-083CEA4C5EF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3" authorId="0" shapeId="0" xr:uid="{55A099DC-3CBC-4EEE-B2F4-8B742CD944F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3" authorId="0" shapeId="0" xr:uid="{2E98C0D9-24D8-46FC-BFA1-161DC78B89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64" authorId="0" shapeId="0" xr:uid="{F310CBA6-8315-4F86-AEBA-D822E6BEF63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V64" authorId="0" shapeId="0" xr:uid="{C315666D-53DE-4CC0-8E8C-99450A327E6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64" authorId="0" shapeId="0" xr:uid="{D95138DF-10CC-46BF-AA12-F04CBB36478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Z64" authorId="1" shapeId="0" xr:uid="{F509B483-89D3-4C47-99A5-3CE7758FB82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A64" authorId="0" shapeId="0" xr:uid="{EA81BCE2-97FD-4D64-A221-54BF2ABD0B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64" authorId="0" shapeId="0" xr:uid="{D468D2B4-1583-47E0-B96F-B581B12DA9D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4" authorId="0" shapeId="0" xr:uid="{7A0959EE-E810-4D1F-A648-2707AFE34C9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4" authorId="0" shapeId="0" xr:uid="{E3DFD190-3721-4447-A8C0-70D3BA7B7B1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4" authorId="0" shapeId="0" xr:uid="{A1AA130C-0EEF-4B2E-ACE2-6AF4CA920CE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4" authorId="0" shapeId="0" xr:uid="{96384920-A5BF-433D-A491-CDF64E6178A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4" authorId="0" shapeId="0" xr:uid="{6A41EC74-417F-4EC5-AB2C-2ACBF1194D0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64" authorId="0" shapeId="0" xr:uid="{866BAE41-77B7-4DA2-820C-0AAEC833CDA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4" authorId="0" shapeId="0" xr:uid="{7235CB54-8B96-4BD2-A94C-7756BE19BF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65" authorId="0" shapeId="0" xr:uid="{B92CC7B6-4B5C-4385-B95C-6D9AFA481B1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W65" authorId="0" shapeId="0" xr:uid="{3D34AE15-3836-4304-A6AB-BBCDED64208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Z65" authorId="0" shapeId="0" xr:uid="{4825F1CD-66DC-4B27-8AE3-B5FD7771A9C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B65" authorId="1" shapeId="0" xr:uid="{3DD98526-ECCA-46C3-B938-82B30AD1141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D65" authorId="0" shapeId="0" xr:uid="{2632DC37-B388-4AA7-BAFD-96C9E5B906E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5" authorId="0" shapeId="0" xr:uid="{183125F2-F9E3-4B40-9A92-9495488D7F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5" authorId="0" shapeId="0" xr:uid="{DF50FAB2-F513-44EC-A95E-7810558A127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5" authorId="0" shapeId="0" xr:uid="{C226CDF8-B7C7-43A7-A1F8-3F2670CAEBD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5" authorId="0" shapeId="0" xr:uid="{930532F6-5790-489C-95DE-814EE7A1866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65" authorId="0" shapeId="0" xr:uid="{A9EBFD2F-5AD0-4C31-803D-EA354F32CC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5" authorId="0" shapeId="0" xr:uid="{6DC7DC87-FDCB-48B0-BA82-BD02B7457B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66" authorId="0" shapeId="0" xr:uid="{D7298B21-8391-447A-A791-C33EE11EDFE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66" authorId="0" shapeId="0" xr:uid="{2138F057-722E-46CA-B3FF-638B2A9764D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66" authorId="0" shapeId="0" xr:uid="{95A8721F-2A21-4B6A-937F-CC1DFB2CC41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66" authorId="0" shapeId="0" xr:uid="{35BC50DA-EA12-425F-B957-B2776316760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66" authorId="0" shapeId="0" xr:uid="{647677D6-66BE-4A21-B202-B9ADDFEE09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66" authorId="0" shapeId="0" xr:uid="{BB813755-2DF0-4764-B2E6-A5D1CB3524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66" authorId="1" shapeId="0" xr:uid="{CB96D2CA-6C8C-4BF7-B777-22EC9FD77B44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A66" authorId="0" shapeId="0" xr:uid="{5C82F3D8-0D41-41AE-B314-E0585955414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66" authorId="0" shapeId="0" xr:uid="{A94A7DD2-DAA3-490D-905A-E46C27D0377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6" authorId="0" shapeId="0" xr:uid="{19D011B8-8FCD-4F58-B612-F7A99B369E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6" authorId="0" shapeId="0" xr:uid="{0ABF5F2B-1D35-4591-B03B-A60510ECC1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6" authorId="0" shapeId="0" xr:uid="{DA4EDCF1-CC1F-4BD8-935C-164D2527687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6" authorId="0" shapeId="0" xr:uid="{CFD38868-AAD8-4ACD-B083-6838A296BCF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67" authorId="0" shapeId="0" xr:uid="{761B577D-CF10-4544-A226-A1F6F497EDC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Y67" authorId="0" shapeId="0" xr:uid="{0AB02667-5396-414D-A11D-2A14DD6DAE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67" authorId="0" shapeId="0" xr:uid="{F3A1978B-25A4-4AD9-BCC1-EB2EC7AFFC8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A67" authorId="0" shapeId="0" xr:uid="{1EEAF752-2CB9-4456-A13B-577A7A0B902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67" authorId="1" shapeId="0" xr:uid="{FA5C3805-3D9B-4B2C-A9B9-E37059458A4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D67" authorId="0" shapeId="0" xr:uid="{249DFBC7-593F-4BCD-8B8A-3ACDC639914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7" authorId="0" shapeId="0" xr:uid="{956AFD13-5F42-41B1-98F0-2E95981A5C2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67" authorId="0" shapeId="0" xr:uid="{32FF3346-7DFC-42F8-B23C-ADCD2DB0F0D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7" authorId="0" shapeId="0" xr:uid="{01A95F54-5FBF-4EC6-8939-70EBF009B6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68" authorId="0" shapeId="0" xr:uid="{6AF33415-1918-4E25-B102-F774C8B522E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68" authorId="0" shapeId="0" xr:uid="{FAF0462A-BC2B-443E-BCB5-A321816353A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68" authorId="0" shapeId="0" xr:uid="{7B074CC2-1ED7-4F00-844F-9C02ADA6647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68" authorId="0" shapeId="0" xr:uid="{12387EF3-53EA-4395-AB72-90D9901B5CF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W68" authorId="0" shapeId="0" xr:uid="{FF20955B-48B8-4EB0-9E89-28CD44F9789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68" authorId="0" shapeId="0" xr:uid="{F721ACE2-E36F-4AEA-8E4B-FF51EBB32C0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68" authorId="1" shapeId="0" xr:uid="{26A7B1B5-2714-4A61-93D8-C91B58C1B6DC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B68" authorId="0" shapeId="0" xr:uid="{5E6C43BE-D0F0-4A2B-85DC-5E8DB91FE4E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68" authorId="0" shapeId="0" xr:uid="{CB610C88-E39C-4CEA-B2EA-E750D67779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8" authorId="0" shapeId="0" xr:uid="{FB803746-D8A3-4277-9655-75A7CA75F49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8" authorId="0" shapeId="0" xr:uid="{774BA56F-A12D-4A9D-9FF3-5BF5A2996F1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8" authorId="0" shapeId="0" xr:uid="{19469245-246F-4E7B-A910-FCC0E15C2ED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68" authorId="0" shapeId="0" xr:uid="{470F2FC5-4C32-4280-BCD1-8DD23C2371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8" authorId="0" shapeId="0" xr:uid="{0352F58B-D0EA-42EC-BEF8-114A86994C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68" authorId="0" shapeId="0" xr:uid="{DB13D412-D711-4429-A024-3E6784746BE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68" authorId="0" shapeId="0" xr:uid="{09CD28B7-FAE9-47CC-8B5A-C56D561E936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69" authorId="0" shapeId="0" xr:uid="{A8C0FFCD-C778-4967-99B5-2A4E4D65A4A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Y69" authorId="0" shapeId="0" xr:uid="{6ACC8133-7656-493E-A29F-5F7702D45CE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69" authorId="0" shapeId="0" xr:uid="{3065315F-4DF2-4099-9ACC-719C6E08C1D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B69" authorId="1" shapeId="0" xr:uid="{5FD4061F-2916-461E-84B8-53788DD6EA29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D69" authorId="0" shapeId="0" xr:uid="{A13831B7-7459-4A34-9DDF-2F15393DE91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69" authorId="0" shapeId="0" xr:uid="{36BF67F2-DBF6-41C8-837A-41EF526D97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69" authorId="0" shapeId="0" xr:uid="{68EF8635-7D46-4B62-8BA3-46C09FD54FE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69" authorId="0" shapeId="0" xr:uid="{2A8F9BAD-5E87-4559-BD6E-66D327CBFB9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69" authorId="0" shapeId="0" xr:uid="{A2D94531-D1AA-4BE8-AE17-877C4A8115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69" authorId="0" shapeId="0" xr:uid="{3CFDDF69-05E9-4D22-A2C7-8D6051A07C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69" authorId="0" shapeId="0" xr:uid="{9F8E79A2-F703-4560-ABA7-C379728A75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69" authorId="0" shapeId="0" xr:uid="{97979854-3537-45B0-BEED-E4C2DC9406A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0" authorId="0" shapeId="0" xr:uid="{346D87B0-C867-41F2-95AB-BC4298B2047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V70" authorId="0" shapeId="0" xr:uid="{F1385D31-38C8-427A-B425-30DFF44B5E5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70" authorId="0" shapeId="0" xr:uid="{D9DE0EAF-63C0-44C6-B149-FECBE4EC231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70" authorId="1" shapeId="0" xr:uid="{66F9B8DE-ECB7-4A98-B71B-2E4C96572951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A70" authorId="0" shapeId="0" xr:uid="{3B321C06-A387-4A2D-B639-EE08AFD2178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70" authorId="0" shapeId="0" xr:uid="{37188057-36F0-4E6F-96CA-9F2BEAB84C4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70" authorId="0" shapeId="0" xr:uid="{60FC6C3A-775B-4012-98DA-7F76ABF62E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70" authorId="0" shapeId="0" xr:uid="{824D4A15-8A4D-40F1-ACF8-A1C7C9475C6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70" authorId="0" shapeId="0" xr:uid="{3852776D-5F75-49C8-A69D-5B1F7A3EA2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70" authorId="0" shapeId="0" xr:uid="{AE31C373-8ED5-46E0-9D0C-5454E67A8D8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0" authorId="0" shapeId="0" xr:uid="{E6ACB54F-DB70-4E60-B5E6-73C4EC02AE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70" authorId="0" shapeId="0" xr:uid="{0F02B884-FDFE-48F9-9FE0-406491D10C2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70" authorId="0" shapeId="0" xr:uid="{DDDEA4D3-3F96-4992-A458-17CFB6794C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0" authorId="0" shapeId="0" xr:uid="{0AE11E9B-D33C-4053-A13E-BEA6795BFEA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1" authorId="0" shapeId="0" xr:uid="{BBFDE272-0EE5-4315-A517-D7F0A0AB9B96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Y71" authorId="0" shapeId="0" xr:uid="{9B22C7D8-D8E8-4201-BF2C-317C3EA85E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71" authorId="0" shapeId="0" xr:uid="{536843DA-E281-4F21-B262-4E7726C9F3F0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B71" authorId="1" shapeId="0" xr:uid="{3EE0A695-24E3-4F81-86E2-7FFE80FB3B13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D71" authorId="0" shapeId="0" xr:uid="{3B2ABC45-28CF-4DCB-8816-728834D00F1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71" authorId="0" shapeId="0" xr:uid="{3AF8BF18-B09D-4B5D-B343-79B128954C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71" authorId="0" shapeId="0" xr:uid="{7CB7B24D-CBA7-4AA8-95F8-2344C8AF668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71" authorId="0" shapeId="0" xr:uid="{DCDE4076-2A94-449B-BA48-0700B0B3A4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1" authorId="0" shapeId="0" xr:uid="{644AF07E-B04E-4B81-9591-EE4076886D2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71" authorId="0" shapeId="0" xr:uid="{722778C4-B289-48D4-B7E9-D4E710E1E0B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71" authorId="0" shapeId="0" xr:uid="{8A224FC9-E5AC-4D71-A438-2D4FA3207CB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1" authorId="0" shapeId="0" xr:uid="{3BFB7303-F1F8-4C9E-97F9-337EAD707D0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72" authorId="0" shapeId="0" xr:uid="{D4B76254-194D-4DD5-A30E-0ACB9F7F5B1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72" authorId="0" shapeId="0" xr:uid="{E2EBFEDD-9640-4641-B332-4C58BBADCE6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72" authorId="0" shapeId="0" xr:uid="{BD7791B4-F2DE-4022-8EAB-C0C5082D5A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2" authorId="0" shapeId="0" xr:uid="{7573C880-441F-4DFF-88E9-D0824F7F39C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72" authorId="0" shapeId="0" xr:uid="{82132507-3380-454F-AD12-F3DB704F4B0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72" authorId="0" shapeId="0" xr:uid="{EFAD640B-0CAA-497E-85C3-023FE4FAB7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72" authorId="0" shapeId="0" xr:uid="{1C79FB88-AE01-47DA-B9E6-22643AF509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72" authorId="0" shapeId="0" xr:uid="{C15A821B-5C5F-4BC4-943D-E115816C49E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2" authorId="0" shapeId="0" xr:uid="{F3E34B0F-6573-4C6E-BB31-DDE4864159D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72" authorId="0" shapeId="0" xr:uid="{EA247E1C-9915-4854-B968-B7050D9AEE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2" authorId="0" shapeId="0" xr:uid="{5C8CC860-2655-4414-9A51-12F4E63DD9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72" authorId="0" shapeId="0" xr:uid="{7B62D39C-1DA1-411A-99FE-8B0E6F5E2E7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72" authorId="0" shapeId="0" xr:uid="{8B222EF1-ED4E-49B5-BB53-1A6D9C88ED6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73" authorId="0" shapeId="0" xr:uid="{5C2F22EB-227A-4B5A-876F-2455128E6F99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F73" authorId="0" shapeId="0" xr:uid="{840334DB-1F4D-4565-8482-8A956F725C1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73" authorId="0" shapeId="0" xr:uid="{67427FB5-6D8A-43AD-8717-0F1CF0C6EBB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73" authorId="0" shapeId="0" xr:uid="{6FA66169-4673-4082-A5D3-8102512C39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73" authorId="0" shapeId="0" xr:uid="{7BF5F1C6-45BF-45E6-8065-9F9106F1CE9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K73" authorId="0" shapeId="0" xr:uid="{2C6280A4-6EBE-4A74-B21B-5991667A70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73" authorId="0" shapeId="0" xr:uid="{51F9285E-9632-40B9-AA35-4083B82F30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73" authorId="0" shapeId="0" xr:uid="{6EF8A5FF-EC0B-4BFC-B4E9-C7A662B1C1C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73" authorId="0" shapeId="0" xr:uid="{A1188268-F3A7-407E-B24D-B79D05F3665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73" authorId="0" shapeId="0" xr:uid="{4CC91DF3-501E-420A-9D92-7AA3DBB2C67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73" authorId="0" shapeId="0" xr:uid="{5A577416-AB5A-499C-855D-1417B90A337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73" authorId="0" shapeId="0" xr:uid="{7360C42B-2704-487B-AF8D-9B560619094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73" authorId="0" shapeId="0" xr:uid="{D87FB1C7-5E4E-4E43-AA74-247C128A33A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74" authorId="0" shapeId="0" xr:uid="{BF6C542D-A82D-4BC0-AEB9-B4A72A23A7D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M74" authorId="0" shapeId="0" xr:uid="{0AD5451C-3A43-45B2-9D4D-F71DF2B2CD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74" authorId="0" shapeId="0" xr:uid="{4F617895-66AE-49CB-821F-3FE8BBBFE95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O74" authorId="1" shapeId="0" xr:uid="{3FDAE773-94A3-4F1E-ACDC-AB1E935CA98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74" authorId="0" shapeId="0" xr:uid="{C92D34DB-44BB-46A2-8179-EA09CB4E6AE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74" authorId="0" shapeId="0" xr:uid="{75E54D18-C5BB-4CA0-8A9E-5B6B17C0D7F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74" authorId="0" shapeId="0" xr:uid="{3FD1BC22-DC4B-4D64-A6B6-066425283EF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75" authorId="0" shapeId="0" xr:uid="{810CB6E0-9E78-4523-8EE2-634539E1FDAD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75" authorId="0" shapeId="0" xr:uid="{91F4F99B-A945-4D82-884E-5BA22A4C12CB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75" authorId="1" shapeId="0" xr:uid="{E9634B0A-43E8-4D24-ABF5-82069D923DE0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U75" authorId="0" shapeId="0" xr:uid="{F63500F4-FCC8-4E4F-970B-718967F21FD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76" authorId="0" shapeId="0" xr:uid="{A2A5DDCD-A3BD-4B33-AF61-DCA7BAE9DEB5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76" authorId="1" shapeId="0" xr:uid="{399F292B-8612-4329-8CF1-150D610182C3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76" authorId="0" shapeId="0" xr:uid="{081FD694-E2F9-45BD-BBA2-8BC3298BA8E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76" authorId="0" shapeId="0" xr:uid="{76E1F2B4-3F60-4A8C-B60B-E96489448C6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76" authorId="0" shapeId="0" xr:uid="{363B485E-14A7-4BC7-953C-1598B4BBCF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6" authorId="0" shapeId="0" xr:uid="{67ACFAA0-D2ED-4512-A1C8-88D93ACA782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76" authorId="0" shapeId="0" xr:uid="{E1E4AE43-ECBD-4360-A2B8-C0ABF7A4E2E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77" authorId="0" shapeId="0" xr:uid="{0180D44F-EF04-489D-8B4A-301286B4866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77" authorId="0" shapeId="0" xr:uid="{D37379B5-E23F-4B3A-B848-607A7AE056D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77" authorId="1" shapeId="0" xr:uid="{B3445FF3-B28A-4BD8-A94B-E25C85876A0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X77" authorId="0" shapeId="0" xr:uid="{B44BC3EE-6908-4661-8085-9C161BD996C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78" authorId="0" shapeId="0" xr:uid="{865DDF7D-F4B4-4B7F-9B0C-F1161DE2F5C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78" authorId="1" shapeId="0" xr:uid="{3F3EC9C3-7FF1-44D0-BADA-083A54ADCC6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78" authorId="0" shapeId="0" xr:uid="{463A54A3-E664-4199-8BB7-A7B0DE16063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78" authorId="0" shapeId="0" xr:uid="{53D3C767-6C02-4B82-A089-111427ACCBA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78" authorId="0" shapeId="0" xr:uid="{C08BE897-E9AD-4CFC-B225-D952CB9DB7D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78" authorId="0" shapeId="0" xr:uid="{C400057F-C5BD-490A-BC9D-D29E7B42681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78" authorId="0" shapeId="0" xr:uid="{6FB5D59F-6ABC-4F53-AEF7-84AFF0A647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78" authorId="0" shapeId="0" xr:uid="{E147A30F-0881-4687-9F1A-7487905EE07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78" authorId="0" shapeId="0" xr:uid="{67CEFDDC-720F-4532-A8E3-C67B86E65B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78" authorId="0" shapeId="0" xr:uid="{66BA8AA7-6570-4A84-8E9D-F5807725659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78" authorId="0" shapeId="0" xr:uid="{C296E277-29E0-41B7-9348-EA5A7E47337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79" authorId="0" shapeId="0" xr:uid="{60A11B9A-9DD5-460A-9368-022DC4C04006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79" authorId="0" shapeId="0" xr:uid="{10391DFC-E184-4664-8E09-C44B80C34731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79" authorId="1" shapeId="0" xr:uid="{4EB907EF-6FBC-47D4-84A4-0C92CBB15EC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Z79" authorId="0" shapeId="0" xr:uid="{D23A78E1-CFA1-4AE8-9717-A67F8ECD00C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79" authorId="0" shapeId="0" xr:uid="{68EB6FD4-17E8-4DC0-BFC2-367C6797E0A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80" authorId="0" shapeId="0" xr:uid="{3DB87E18-EF3A-42B6-B5F5-82E15AB257A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O80" authorId="1" shapeId="0" xr:uid="{4C903465-EF87-4849-ABA6-00456F44A3F9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P80" authorId="0" shapeId="0" xr:uid="{2EBBD501-0548-4952-9323-A8C21C8550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80" authorId="0" shapeId="0" xr:uid="{CBE0FDEF-8AAC-4642-ACB2-30BED3A5544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80" authorId="0" shapeId="0" xr:uid="{8638B2E5-A642-4789-A4CD-FE9BB0F560F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80" authorId="0" shapeId="0" xr:uid="{CD95DAE2-C42D-43DC-AE09-5A180B333EF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80" authorId="0" shapeId="0" xr:uid="{2B299CA1-4C3E-483F-907E-C44EDDFB92E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80" authorId="0" shapeId="0" xr:uid="{102AC232-81DA-49FF-BBD2-FF756DFD680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81" authorId="0" shapeId="0" xr:uid="{2B50DF96-0DE3-4359-A17C-E222D5C92F06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O81" authorId="0" shapeId="0" xr:uid="{3F26DB1E-8C85-43A7-8C94-8A3F5988B84E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81" authorId="1" shapeId="0" xr:uid="{0246A717-D5E5-40A5-870C-F64D44246A1A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Y81" authorId="0" shapeId="0" xr:uid="{373E1EAE-112C-493C-9FF3-7A66AB9D98B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82" authorId="0" shapeId="0" xr:uid="{F6C65906-4F55-4FCA-AE1B-ED342B020FA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82" authorId="0" shapeId="0" xr:uid="{71041F61-E59F-42CA-A543-9C12916D68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V82" authorId="0" shapeId="0" xr:uid="{749C208B-F4AA-4A0B-8FC3-1F7ED7110A6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82" authorId="0" shapeId="0" xr:uid="{B287CEC1-CAE4-424A-BC59-124D0BC0A6B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82" authorId="1" shapeId="0" xr:uid="{B9AECCC7-4A48-4A9B-B94B-CB5F405C7BC2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A82" authorId="0" shapeId="0" xr:uid="{72F3A006-FDC3-4330-8350-A1D8772BE93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82" authorId="0" shapeId="0" xr:uid="{CC39B93F-8944-4FC7-B8B2-4E8BC008A5B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D82" authorId="0" shapeId="0" xr:uid="{F1603206-D27D-4781-9547-B9AD2D80E6C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83" authorId="0" shapeId="0" xr:uid="{2D648C18-1A70-43C7-ACD0-A3EDB9AA8D0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Z83" authorId="0" shapeId="0" xr:uid="{79FB4AA8-458B-4CB8-83D8-E84C2DB1A645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A83" authorId="0" shapeId="0" xr:uid="{099965F0-FB44-4D6F-B889-7ECA4570576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83" authorId="1" shapeId="0" xr:uid="{03132BC5-A5CC-4AFC-A93F-76726E6BB752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D83" authorId="0" shapeId="0" xr:uid="{E1F4D087-1A37-4D92-B40A-454B34866C7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83" authorId="0" shapeId="0" xr:uid="{400E558A-AEAD-4696-82A9-CFF9C36B809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E84" authorId="0" shapeId="0" xr:uid="{86EC91EC-D452-4676-B273-3407EC648B3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84" authorId="0" shapeId="0" xr:uid="{862F3D79-C3C7-400B-8ECB-5954A9B3191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4" authorId="0" shapeId="0" xr:uid="{EEE83416-D6DD-439B-B69E-2DA99B9BDA9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4" authorId="0" shapeId="0" xr:uid="{D8FC843C-DD5F-45FF-B7F7-32DDE6293EB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4" authorId="0" shapeId="0" xr:uid="{092A7CBE-2357-462A-A482-37DC57D174C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4" authorId="0" shapeId="0" xr:uid="{56715802-8B3C-4B97-ACEC-1E27D24DAB5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4" authorId="0" shapeId="0" xr:uid="{EDCAEAEF-1603-4423-8A34-3AFB781B688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84" authorId="0" shapeId="0" xr:uid="{690CEF92-1982-4ECD-9428-216A44EF471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85" authorId="0" shapeId="0" xr:uid="{06E7D1E0-9FED-45E9-8507-38FD352ED618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F85" authorId="0" shapeId="0" xr:uid="{5672B637-ED69-46F3-ACD3-3A1969E26E6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5" authorId="0" shapeId="0" xr:uid="{2041E087-739E-481D-B2B8-251E43BFD06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5" authorId="0" shapeId="0" xr:uid="{8E32EB3F-2E4A-484C-ABF8-3F7848BAA2B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5" authorId="0" shapeId="0" xr:uid="{3320F12C-3ED8-4F6A-9AF1-B548F914E5E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5" authorId="0" shapeId="0" xr:uid="{62EC56A9-271F-44EB-9E29-7CCDE367087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5" authorId="0" shapeId="0" xr:uid="{395217C0-555D-4BBC-B78E-63172900E34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85" authorId="0" shapeId="0" xr:uid="{E0E48010-A1E3-443A-A8F7-372B6A48857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86" authorId="0" shapeId="0" xr:uid="{A075BA5A-D42C-4CFC-8559-409017C6A72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D86" authorId="0" shapeId="0" xr:uid="{B038A132-3EAF-4699-8EA9-071AF902DE4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86" authorId="0" shapeId="0" xr:uid="{E1A3D8FC-6DC9-4E14-A34A-4FAF48DC217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6" authorId="0" shapeId="0" xr:uid="{FAD813D7-B991-4215-A8D6-5744E39D4CD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6" authorId="0" shapeId="0" xr:uid="{4912EF4E-BD62-40DB-8EE3-3AF70A7D238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6" authorId="0" shapeId="0" xr:uid="{136365C7-62B7-443E-A833-010E7E2E4A7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6" authorId="0" shapeId="0" xr:uid="{5ED27C2E-A9F4-4D55-B369-481AB4E82B7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6" authorId="0" shapeId="0" xr:uid="{135FAC5C-4553-4D8A-97E5-67F3D447F45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87" authorId="0" shapeId="0" xr:uid="{20E4FCD4-EC6A-4841-A253-A544AB777D2E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D87" authorId="0" shapeId="0" xr:uid="{B500F203-66A6-4DF5-9AD4-375A0050658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F87" authorId="0" shapeId="0" xr:uid="{206FE3D6-C204-47B3-BC36-FFA2F5262E5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7" authorId="0" shapeId="0" xr:uid="{BBC2943C-D5EA-4CD0-B02B-412B93C5AB8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7" authorId="0" shapeId="0" xr:uid="{BD787217-8996-426D-AFCB-E56CA5115B8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7" authorId="0" shapeId="0" xr:uid="{69DF679E-07EA-4BE7-BC22-0B26DC089FB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7" authorId="0" shapeId="0" xr:uid="{4C502700-2744-485B-821A-C428A1D2345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7" authorId="0" shapeId="0" xr:uid="{155AA2CA-5D70-4560-8DE2-F54D986CAD8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88" authorId="0" shapeId="0" xr:uid="{35BFA4D4-AED0-499B-B2CD-5F7FDA4133D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D88" authorId="0" shapeId="0" xr:uid="{BBC3C72F-F02C-4E98-8895-9985D1A3E52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88" authorId="0" shapeId="0" xr:uid="{6B3BE56A-79BD-4F97-97B1-C67ECA16A2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8" authorId="0" shapeId="0" xr:uid="{A68F54ED-E054-4D6F-9DC9-E272CAFDDB2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8" authorId="0" shapeId="0" xr:uid="{CE9E585F-E4E1-4A15-9FFD-BEDCD12E53F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8" authorId="0" shapeId="0" xr:uid="{CEAD54E2-7833-4D44-88CA-3496B07E44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8" authorId="0" shapeId="0" xr:uid="{8177B52B-4894-48D0-93CA-A2B58A8387D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8" authorId="0" shapeId="0" xr:uid="{89486CB9-044B-4E71-A686-7FB81E74D8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88" authorId="0" shapeId="0" xr:uid="{4CF7CF7A-0C5E-43E8-9491-D63C3944F52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C89" authorId="0" shapeId="0" xr:uid="{1381CF85-A989-499C-95C3-4C6EE4D00C0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D89" authorId="0" shapeId="0" xr:uid="{27569E52-5473-44E8-AB10-06F30EFE6AB7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F89" authorId="0" shapeId="0" xr:uid="{52551E6A-5EDF-42DE-98C9-8BABC25D440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89" authorId="0" shapeId="0" xr:uid="{1F4E5928-2C18-43B8-B5BD-B72B2F4A682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89" authorId="0" shapeId="0" xr:uid="{CE09819C-562F-42B9-A732-B9258B72402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89" authorId="0" shapeId="0" xr:uid="{83FA1490-3015-4EDE-83C7-38274F7859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89" authorId="0" shapeId="0" xr:uid="{506E3D57-1B7F-47E2-8524-5C6945F7F5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89" authorId="0" shapeId="0" xr:uid="{EC91C877-78C9-4520-ACC7-D91BD30A6E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89" authorId="0" shapeId="0" xr:uid="{89E11736-022C-4380-AABE-69CAE8DD5E9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90" authorId="0" shapeId="0" xr:uid="{27D81CFE-81ED-4206-BFE9-1E0EE1ACB1E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F90" authorId="0" shapeId="0" xr:uid="{51D4588F-9843-4539-AE0D-FEEF94CDA8B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90" authorId="0" shapeId="0" xr:uid="{D753BB6B-4210-464A-8FF1-92E3DA7F10F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90" authorId="0" shapeId="0" xr:uid="{3A16EC40-92AA-4212-852F-43D8FA0DE7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90" authorId="0" shapeId="0" xr:uid="{A1F75CB3-85EB-4454-8332-F25C17FEE57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90" authorId="0" shapeId="0" xr:uid="{18BA3E6F-043C-4BC0-9B24-DA7FA2A62D2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90" authorId="0" shapeId="0" xr:uid="{F3C953B1-A702-4A56-B3A8-8E72F0ED3A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0" authorId="0" shapeId="0" xr:uid="{E5F6EB31-51F0-493E-88B1-25839170DB7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0" authorId="0" shapeId="0" xr:uid="{194E80BB-57CA-4FF6-AF14-4B5EAE38AC0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E91" authorId="0" shapeId="0" xr:uid="{33D44A02-9540-43A5-8DA5-3479D6811D90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F91" authorId="0" shapeId="0" xr:uid="{5F9F4482-EF92-428E-9041-2CD92228443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G91" authorId="0" shapeId="0" xr:uid="{520CA2BE-0162-40BB-AF03-5E21C5D95E8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H91" authorId="0" shapeId="0" xr:uid="{9A305DC3-FF9B-423E-8801-8D217D00554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I91" authorId="0" shapeId="0" xr:uid="{DF6D02C3-4BF0-44F5-A65B-50182F4F1B8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91" authorId="0" shapeId="0" xr:uid="{90087B15-CD3A-4531-9AEB-EEF2C5F40AA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91" authorId="0" shapeId="0" xr:uid="{8AC10345-5E89-4B9E-9DBC-311B1A672D4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1" authorId="0" shapeId="0" xr:uid="{6D5F10FC-E113-4764-B71B-6D0AB3B9F8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1" authorId="0" shapeId="0" xr:uid="{CDD14AC6-C24A-43F7-828D-C1D1B04ED76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92" authorId="0" shapeId="0" xr:uid="{314261CB-22C8-4F63-8A7D-3929909F64A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K92" authorId="0" shapeId="0" xr:uid="{D55E2202-CCD3-416D-BAE7-774F8A5B63B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2" authorId="0" shapeId="0" xr:uid="{7428BF65-1F1E-49B7-A0EF-C03337D4445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2" authorId="0" shapeId="0" xr:uid="{BD741480-8673-4785-87E5-2E492351CD8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2" authorId="0" shapeId="0" xr:uid="{59257E65-7E6A-4A70-AAEB-65311DB5847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92" authorId="0" shapeId="0" xr:uid="{AE811010-EA7D-4DF9-8872-1E53991D1AB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2" authorId="0" shapeId="0" xr:uid="{C0C535DC-084F-4331-A72F-45A320121A1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2" authorId="0" shapeId="0" xr:uid="{A596964E-7017-4247-A0B6-366E2DF47D3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J93" authorId="0" shapeId="0" xr:uid="{A5214CF8-18F3-4A0F-85FF-D75BB9BD50E1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K93" authorId="0" shapeId="0" xr:uid="{8F872942-90D6-4BD7-B2CB-67CA41627D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M93" authorId="0" shapeId="0" xr:uid="{71128688-E3E9-42B7-A2CE-DB3CF722CE9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N93" authorId="0" shapeId="0" xr:uid="{4BD3ECB6-5A90-48F2-9E09-09A0FA97A7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3" authorId="0" shapeId="0" xr:uid="{E814F284-E794-4D40-B863-A500348F4F4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93" authorId="0" shapeId="0" xr:uid="{538C2C2E-16DE-4FFD-AD54-4049CEB9066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3" authorId="0" shapeId="0" xr:uid="{D37F2A4C-B2D0-4D23-A073-BCC989879D4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3" authorId="0" shapeId="0" xr:uid="{8680E0BF-4B39-4BFF-BC4D-5C2BD65AF4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94" authorId="0" shapeId="0" xr:uid="{43BBD2FC-AEAC-4914-AA8D-E28F4E43EAA8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M94" authorId="0" shapeId="0" xr:uid="{8CC90FB4-AA9A-48EA-8E7F-9192CE0184A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94" authorId="0" shapeId="0" xr:uid="{6006F1EC-BF2D-4A5A-9E1B-EC8B75E56C1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4" authorId="0" shapeId="0" xr:uid="{FC719D0C-D8AF-46B0-B157-085FBBC249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94" authorId="0" shapeId="0" xr:uid="{B747554E-F64B-4E99-B6A4-338C990D415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4" authorId="0" shapeId="0" xr:uid="{980F3E67-6EC7-4B39-B9B2-9C5AA8229A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4" authorId="0" shapeId="0" xr:uid="{199DF93D-2ADF-4BFB-A8E3-AF611E4B117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L95" authorId="0" shapeId="0" xr:uid="{5705CDEE-6C3C-41DD-9E10-4BB56802E7B4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M95" authorId="0" shapeId="0" xr:uid="{B228073A-8F73-442E-9BA6-9F4E7C8F30B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O95" authorId="0" shapeId="0" xr:uid="{B61B356F-E5C2-4249-AFA6-CA2A9508B6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5" authorId="0" shapeId="0" xr:uid="{226F7254-489F-4168-BBD0-23BAA8977A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95" authorId="0" shapeId="0" xr:uid="{1949F281-C3FB-41EE-9578-952BC224105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5" authorId="0" shapeId="0" xr:uid="{B288E117-6AF9-42BA-A26F-0A1910E6D1F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5" authorId="0" shapeId="0" xr:uid="{9818553B-AB8E-4686-84EF-360C9A3B37E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6" authorId="0" shapeId="0" xr:uid="{90F478DD-9FEF-4848-9574-ADA0AA035293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Q96" authorId="0" shapeId="0" xr:uid="{D6809E91-34E4-450E-9853-7AA1B816D0A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6" authorId="0" shapeId="0" xr:uid="{1F0B5C3D-02EC-4CF0-97CA-409F43540CB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6" authorId="0" shapeId="0" xr:uid="{9B3E2FE2-317B-4342-B72D-7181860B1FE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P97" authorId="0" shapeId="0" xr:uid="{156722AE-E8F9-48E3-BE8F-F249689ADE0F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AQ97" authorId="0" shapeId="0" xr:uid="{DE428180-EC53-41DA-90E1-9DECDB13E54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R97" authorId="0" shapeId="0" xr:uid="{D6053037-57D8-4DD4-8E90-B180B0C1A64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S97" authorId="0" shapeId="0" xr:uid="{3D47CE5A-1E1A-4920-8877-970851C7384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Q98" authorId="0" shapeId="0" xr:uid="{05DB9B26-7541-4106-9409-B2FD8E26FCE5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Q99" authorId="0" shapeId="0" xr:uid="{18E5E4B7-17DD-4EB5-BC0C-9871B186F5B5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M114" authorId="0" shapeId="0" xr:uid="{0DD3F4F0-1D54-45B5-BC45-7941F0306BF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15" authorId="0" shapeId="0" xr:uid="{632EA6B0-56F2-44B9-B9F8-8207F386B1F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国際自動車株式会社(城北) 板橋営業所 秋葉亮</author>
    <author>秋葉亮 板橋営業所 国際自動車株式会社(T2)</author>
    <author>国際自動車株式会社(城北) 板橋営業所 石井元行</author>
    <author>近藤共朗 板橋営業所 国際自動車株式会社(T2)</author>
  </authors>
  <commentList>
    <comment ref="J6" authorId="0" shapeId="0" xr:uid="{F1832AB2-5998-4A45-B57E-06B0946A1E4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6" authorId="0" shapeId="0" xr:uid="{AB21C580-E417-4137-AD59-CBDE4822E17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" authorId="0" shapeId="0" xr:uid="{89E9554C-30A9-4926-9D17-EDFA8B8FA97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6" authorId="0" shapeId="0" xr:uid="{7F8CEEFC-37D1-4CFD-BACF-9CD57639FD3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6" authorId="0" shapeId="0" xr:uid="{48C6A5C4-656F-4131-9DD9-0FB1DC2D661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7" authorId="0" shapeId="0" xr:uid="{B39D205B-27AE-4799-A26E-50AD7918817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7" authorId="0" shapeId="0" xr:uid="{9D6AF3A9-BF2B-4B55-99F4-E729D59A97B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7" authorId="0" shapeId="0" xr:uid="{7D309E2C-DAE0-4E1C-AD01-0BB63620D1F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7" authorId="0" shapeId="0" xr:uid="{BF9E5A26-65A7-4206-8CC9-65A5CA57E8E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7" authorId="0" shapeId="0" xr:uid="{B81446E7-AD16-4EB3-9229-80FC7DBF49F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7" authorId="0" shapeId="0" xr:uid="{391DE358-36F2-45AD-B126-5CB06A14722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7" authorId="0" shapeId="0" xr:uid="{E7794549-EF1D-46E0-9B17-15581E87261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8" authorId="0" shapeId="0" xr:uid="{48C4B59E-ECAF-4CD7-BDF3-2ABF347572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8" authorId="0" shapeId="0" xr:uid="{10828F1D-7F93-4CA9-96BE-007C572658B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8" authorId="0" shapeId="0" xr:uid="{41FE9C2A-BB4A-4F59-91E3-081F8249C9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8" authorId="0" shapeId="0" xr:uid="{10EBABBA-A03D-4CBE-9968-395EC531A3C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8" authorId="0" shapeId="0" xr:uid="{649352EC-EDE6-4ACD-855B-9FB209D945F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9" authorId="0" shapeId="0" xr:uid="{F70BCD4E-1FB8-479F-9E55-2B179F3E85C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9" authorId="0" shapeId="0" xr:uid="{273FE9C1-72F6-44AF-B3DC-3B8A2165C44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9" authorId="0" shapeId="0" xr:uid="{569D6A27-9081-480B-A185-5B06226DD65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9" authorId="0" shapeId="0" xr:uid="{1840AEE8-E4F4-4F14-B5D4-AAC33482BFB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9" authorId="0" shapeId="0" xr:uid="{9172393E-09DD-43B3-90EB-031F65C7ABE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9" authorId="0" shapeId="0" xr:uid="{1ECA2EF1-33C8-480E-8415-6B669644867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9" authorId="0" shapeId="0" xr:uid="{E2B37E18-A85C-4288-A6AE-38CD28C8E252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10" authorId="0" shapeId="0" xr:uid="{F3416021-3CFC-486F-8DA2-35A47C305C9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10" authorId="0" shapeId="0" xr:uid="{3DA476B8-318B-46D7-B0D9-D9F0ADFA1AB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0" authorId="0" shapeId="0" xr:uid="{E87F07CA-166B-431B-8E2B-3449E94F512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0" authorId="0" shapeId="0" xr:uid="{1C79C2E2-65C1-4A51-B139-EE8388433EE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0" authorId="0" shapeId="0" xr:uid="{23277C10-DAAA-430C-8A6B-C3E557BA2F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11" authorId="0" shapeId="0" xr:uid="{2DC3546D-063B-47AC-931C-8563C0B25E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11" authorId="0" shapeId="0" xr:uid="{3FF48B9D-44A9-4DC2-A3BA-23A910533C8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1" authorId="0" shapeId="0" xr:uid="{0B9BE28A-758D-4449-A5C6-78AC380DE94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1" authorId="0" shapeId="0" xr:uid="{695898FF-128B-4D48-ACB8-2A69957E451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1" authorId="0" shapeId="0" xr:uid="{C6A2550E-EE49-4CD6-B2C7-477962328C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1" authorId="0" shapeId="0" xr:uid="{8B23E180-D17D-4496-B823-FC9C286FDBD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11" authorId="0" shapeId="0" xr:uid="{83E80BFD-C0A8-49E0-89ED-9118D2AA057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12" authorId="0" shapeId="0" xr:uid="{44E613DB-6710-4665-935A-93384D6F906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12" authorId="0" shapeId="0" xr:uid="{B969AC08-EB3E-47D3-A8C7-D0A5145E9E4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2" authorId="0" shapeId="0" xr:uid="{75DC64C2-56BC-41FE-AA68-FDDA3C8DEC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2" authorId="0" shapeId="0" xr:uid="{CB224093-C0F5-457E-8984-DA567E49831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2" authorId="0" shapeId="0" xr:uid="{7AFB76F2-6751-4671-A90D-BE5929CC1D2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13" authorId="0" shapeId="0" xr:uid="{43725861-468B-4B79-8975-75196D56EE9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13" authorId="0" shapeId="0" xr:uid="{385EC863-843E-412C-B9A8-0DCD85CAD4A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3" authorId="0" shapeId="0" xr:uid="{F739D79A-5E3A-48B6-8E23-38FC17A1405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3" authorId="0" shapeId="0" xr:uid="{34F7CE8F-E5B3-4C33-B40E-4BE07BCEFB3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3" authorId="0" shapeId="0" xr:uid="{26160F4A-BCDA-4851-9C02-DCC77B190DD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3" authorId="0" shapeId="0" xr:uid="{34532EB1-4F38-413D-B025-5A814F0EBFCA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13" authorId="0" shapeId="0" xr:uid="{0BF04960-7F06-4E23-A480-2D828DD3F3D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14" authorId="0" shapeId="0" xr:uid="{DE175191-7FAF-490E-893A-5B66686EFE1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4" authorId="0" shapeId="0" xr:uid="{DE225424-C32D-4286-AF41-F4D5C1FE33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4" authorId="0" shapeId="0" xr:uid="{FEAD3AD7-E24B-43EE-BF60-C4877AE27BA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4" authorId="0" shapeId="0" xr:uid="{32093CD6-6A1A-43B3-99A9-88679061E5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4" authorId="0" shapeId="0" xr:uid="{325EC0F4-3738-4DA7-B2E3-AD83B052F9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15" authorId="0" shapeId="0" xr:uid="{96B2B50C-4917-4530-BBBC-E1837EF94EB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5" authorId="0" shapeId="0" xr:uid="{85E7477D-C85C-4D74-A2CC-CACD153EAD1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5" authorId="0" shapeId="0" xr:uid="{27721678-6E68-4F48-A8CB-EE3DD776190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5" authorId="0" shapeId="0" xr:uid="{E6948FA8-20FF-48E0-BE48-7420900FD7A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5" authorId="0" shapeId="0" xr:uid="{4161417D-A94B-4A16-B2EE-F21E75F55AE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15" authorId="0" shapeId="0" xr:uid="{CB4E2738-3CE5-4392-97A5-A5EF9AA722F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15" authorId="0" shapeId="0" xr:uid="{E2C5CFDF-36A0-46FE-9F98-BE9C9D6E997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16" authorId="0" shapeId="0" xr:uid="{F4400253-70BC-4D38-B2B8-12E371D9E0C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6" authorId="0" shapeId="0" xr:uid="{1E1B7B90-87E0-4273-8E5C-01D4B12499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6" authorId="0" shapeId="0" xr:uid="{F3D3ED1B-2084-4316-B192-E0003B118C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6" authorId="0" shapeId="0" xr:uid="{175AC560-1CB2-4971-A0E8-672B271B8C3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6" authorId="0" shapeId="0" xr:uid="{DD8DAA8F-6E53-4932-984B-A001D5EB3D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17" authorId="0" shapeId="0" xr:uid="{8DCE4DFE-4682-413B-AAAB-B78154FAB6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7" authorId="0" shapeId="0" xr:uid="{3A2FF46D-D642-4C06-A4A4-D139423FCAD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7" authorId="0" shapeId="0" xr:uid="{52674D7F-3BF6-4F3C-9E1E-E6817BAAD4A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7" authorId="0" shapeId="0" xr:uid="{F2B30D22-426D-472C-ADB6-4DC5F6F37D6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17" authorId="0" shapeId="0" xr:uid="{6A44F3B8-F0E5-419B-8E15-D86AEC11D03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17" authorId="0" shapeId="0" xr:uid="{CB48185F-AB52-48E7-B4F1-EF3AB78647C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17" authorId="0" shapeId="0" xr:uid="{E6EC8D99-03FD-4FDC-8B54-3E4C18B57AF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18" authorId="0" shapeId="0" xr:uid="{8F18228B-6E9D-49C0-BE0B-6B5C42DBFA1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8" authorId="0" shapeId="0" xr:uid="{74BD5037-D8AB-4E64-B770-22CDA73D973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8" authorId="1" shapeId="0" xr:uid="{F5869494-F17E-4246-B958-CD91A32C81ED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18" authorId="0" shapeId="0" xr:uid="{A0A2CF5B-0CA1-478D-8D85-70CE058CFC1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8" authorId="0" shapeId="0" xr:uid="{1C37FEF7-F4BE-419E-9F99-E9C389B1223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19" authorId="0" shapeId="0" xr:uid="{2B039406-46DD-4F21-8038-D12A0FB7828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19" authorId="0" shapeId="0" xr:uid="{A6680A97-4368-4C80-95EC-99C79A290F8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19" authorId="0" shapeId="0" xr:uid="{78F1B582-B0D3-41ED-AF67-8DAD5EC550A7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19" authorId="0" shapeId="0" xr:uid="{DCF50BA6-E0A8-4537-B0BE-656A8368421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19" authorId="0" shapeId="0" xr:uid="{D2C86C19-C2EF-4971-8C9C-561CDD79B98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19" authorId="0" shapeId="0" xr:uid="{E438FC5E-3C86-4732-8F6B-043A5C0021B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19" authorId="0" shapeId="0" xr:uid="{491A78FE-B129-468A-85CC-13B41D504BF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J20" authorId="0" shapeId="0" xr:uid="{49ED8500-B8E8-4ACD-B42F-EC509312015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0" authorId="0" shapeId="0" xr:uid="{26869E8D-AA38-472F-AE88-BA927DF6785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0" authorId="1" shapeId="0" xr:uid="{6248CDDC-1EB7-438F-8CDE-8C9CBDAD2FB5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20" authorId="0" shapeId="0" xr:uid="{4297EE22-4673-49E5-8193-ECD56BE82E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0" authorId="0" shapeId="0" xr:uid="{CBBE4FE1-B172-47EB-8389-D495DAA2D74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21" authorId="0" shapeId="0" xr:uid="{668ADD64-D459-4587-987A-91C0F08F4A7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1" authorId="0" shapeId="0" xr:uid="{ACF1054A-F6F5-444C-A6EB-67ACA16BE42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1" authorId="0" shapeId="0" xr:uid="{F07B2634-22D8-4C9D-A9AA-6F28F388DC1D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21" authorId="0" shapeId="0" xr:uid="{70DC2110-F764-4E93-8ADD-D1D1C97E269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21" authorId="0" shapeId="0" xr:uid="{C70D0E82-4C4C-4094-B1C5-A9BFD0ED6F4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1" authorId="0" shapeId="0" xr:uid="{9FB47326-6FAE-4E8A-ACF4-ADB5D1109FA0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S21" authorId="0" shapeId="0" xr:uid="{A778AE84-1ACF-4A82-91BA-931005829859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2" authorId="0" shapeId="0" xr:uid="{8F1E55C3-3C69-4987-846B-8C6EA76B4F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2" authorId="0" shapeId="0" xr:uid="{4B5C1022-B245-4557-87ED-41C2C2B2FD0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2" authorId="1" shapeId="0" xr:uid="{C2ED9DC2-BB90-4326-9E45-2EC8933722E6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22" authorId="0" shapeId="0" xr:uid="{E8F5027E-E49E-410D-9F3D-451FF7B3D3D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2" authorId="0" shapeId="0" xr:uid="{3B39A019-1BFC-4B5B-B774-BB43FB41A4A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2" authorId="0" shapeId="0" xr:uid="{D232FA63-6CD1-4840-9873-08386653529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3" authorId="0" shapeId="0" xr:uid="{6CA7814C-78E0-4848-ACEF-0F2A2708F3B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3" authorId="1" shapeId="0" xr:uid="{81E0EAAE-5D9B-4689-BE74-282F7BC80291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23" authorId="0" shapeId="0" xr:uid="{E452D2D5-601D-41AF-B484-4090897BBD1A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23" authorId="0" shapeId="0" xr:uid="{FA4A8F1E-8CD8-47E5-BBAB-681DA8A8740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3" authorId="0" shapeId="0" xr:uid="{A0DD0DC7-ED7A-4648-A6A7-A8DF51C258D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3" authorId="0" shapeId="0" xr:uid="{11E355FB-84D3-4A07-91A6-C891B04B7EE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3" authorId="0" shapeId="0" xr:uid="{FC97FA5B-D225-412F-A9F4-1E715D4FD1C6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3" authorId="0" shapeId="0" xr:uid="{48BE20AF-3FC7-40DF-83EB-A25B4F71A3D1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4" authorId="0" shapeId="0" xr:uid="{6FF16C9D-1078-4EB2-BC77-15026E6B091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4" authorId="0" shapeId="0" xr:uid="{0B8079CF-B9F5-4E00-83A9-917D0259B1D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4" authorId="1" shapeId="0" xr:uid="{728FB439-187A-41FF-A56D-946EA7ED4536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24" authorId="0" shapeId="0" xr:uid="{33BC4835-05F9-4A47-A893-8C70AD0E75A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4" authorId="0" shapeId="0" xr:uid="{9E465245-D7D1-4165-837F-00C8256D2F6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4" authorId="0" shapeId="0" xr:uid="{D93004BD-1E0F-4893-8342-F45D4ACC133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5" authorId="0" shapeId="0" xr:uid="{917338C9-1EE8-4438-B279-DEAE49098F7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5" authorId="1" shapeId="0" xr:uid="{926793E8-9040-4797-9CEA-19E182565F4F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25" authorId="0" shapeId="0" xr:uid="{8F32559D-C2E7-4719-A9ED-726733C2CE4C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25" authorId="0" shapeId="0" xr:uid="{61AF9187-6CC6-4FBF-846D-0D55AC33064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5" authorId="0" shapeId="0" xr:uid="{205BB3B9-15EC-4D12-90D5-7A8A251553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5" authorId="0" shapeId="0" xr:uid="{22F649E6-1899-4124-A6CC-E6157BD6CA9F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5" authorId="0" shapeId="0" xr:uid="{DE173559-0641-46F6-BEB3-2F1A81EF4DE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T25" authorId="0" shapeId="0" xr:uid="{FD5EEA7A-9E2D-4267-92C9-AE15DE81BFF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6" authorId="0" shapeId="0" xr:uid="{C5544676-2910-468F-B077-3848911BBBB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6" authorId="0" shapeId="0" xr:uid="{023BFF85-2107-4F3B-A196-96F64FFB2A9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6" authorId="1" shapeId="0" xr:uid="{03FA9E03-F1AE-4AE2-A64E-E0BF36ADAE2F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26" authorId="0" shapeId="0" xr:uid="{BC932E82-DD0C-4A9D-8988-7CD2DE6DDBD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6" authorId="0" shapeId="0" xr:uid="{1A28AA0E-8449-452A-AF35-9370EE844A09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6" authorId="0" shapeId="0" xr:uid="{86AA16AE-E908-47F5-9DB1-DFB9690326D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6" authorId="0" shapeId="0" xr:uid="{FA41C071-CC8B-4EFB-B712-FDFF3247543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7" authorId="0" shapeId="0" xr:uid="{45CF57C0-DE90-4834-951B-3E78D31D604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7" authorId="1" shapeId="0" xr:uid="{A4C12037-4143-4F9D-8660-200BBB2B957E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27" authorId="0" shapeId="0" xr:uid="{C6C0E68C-99C5-45A5-87D4-9AF289A8DF39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27" authorId="0" shapeId="0" xr:uid="{C9BF5802-7A0B-4BDE-89B4-198DA335262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7" authorId="0" shapeId="0" xr:uid="{0A41E93D-39E7-4214-8962-DE8323A0B54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7" authorId="0" shapeId="0" xr:uid="{87215188-F6B8-4AA4-8B50-8E75C1C1A6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7" authorId="0" shapeId="0" xr:uid="{4A1CE96B-95E9-488A-B931-89F5B8C2EA2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27" authorId="0" shapeId="0" xr:uid="{E8B4697F-6D9E-435F-A435-92747C120A9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27" authorId="0" shapeId="0" xr:uid="{9F0653FA-F389-4D93-85C6-EBB35D67FE5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K28" authorId="0" shapeId="0" xr:uid="{62363FF2-D63C-4080-8326-BEAFD4B8E57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8" authorId="0" shapeId="0" xr:uid="{EC6EC3BC-BA06-4E5C-A939-AE9B7B0E71F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28" authorId="1" shapeId="0" xr:uid="{459591B8-05A5-4A0E-9A98-8606B7ECAFC5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O28" authorId="0" shapeId="0" xr:uid="{17EBC666-BCBD-475E-81EF-5E4C1970FD3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8" authorId="0" shapeId="0" xr:uid="{B3A612EC-C649-4C05-A4D7-4DFEA36CBFD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8" authorId="0" shapeId="0" xr:uid="{41374158-7AF1-43CB-B5DB-D925EA63426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8" authorId="0" shapeId="0" xr:uid="{50C31922-48C4-4ED1-AF3A-210644A7AB7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29" authorId="0" shapeId="0" xr:uid="{5C098D5F-C82B-4073-8008-58AFD1C16EA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29" authorId="1" shapeId="0" xr:uid="{7260C75E-091F-4252-9F81-DF3271D56C5F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N29" authorId="0" shapeId="0" xr:uid="{92A4561B-0AA7-425E-916C-6C5D100AE1D1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O29" authorId="0" shapeId="0" xr:uid="{6199E7E9-9739-4438-8B14-EE159F85337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Q29" authorId="0" shapeId="0" xr:uid="{EF06415F-11B9-4CCD-8D28-7403A542FAC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29" authorId="0" shapeId="0" xr:uid="{8FBB0E7C-3AAE-479F-88D5-D6058D694A8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29" authorId="0" shapeId="0" xr:uid="{02CD816E-B7B9-45BC-ADD4-B1D65CDD532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T29" authorId="0" shapeId="0" xr:uid="{1DE2326C-A370-4F42-9E9E-6F902EDCB70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U29" authorId="0" shapeId="0" xr:uid="{19F3A77E-A1F9-4F31-94D3-69C020E2880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30" authorId="0" shapeId="0" xr:uid="{8CA73ED6-A500-4548-BFB5-805C69A4314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30" authorId="0" shapeId="0" xr:uid="{603E0C1A-9FC6-41D9-9390-5EDF2611509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30" authorId="0" shapeId="0" xr:uid="{6BD9462A-7C49-42F0-9EAD-6E4108D785B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0" authorId="0" shapeId="0" xr:uid="{11ED32D9-8ABA-4123-B8A8-FEAC6134C52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30" authorId="0" shapeId="0" xr:uid="{E7D019DA-43F6-460E-B4F9-1BB9B7981014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30" authorId="0" shapeId="0" xr:uid="{5A728179-0E70-4E28-92F8-1067076D088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30" authorId="0" shapeId="0" xr:uid="{DFCD2E85-D704-4E01-95F7-7FC4E85152D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0" authorId="0" shapeId="0" xr:uid="{2CA77250-1BA5-46C1-8F6E-DCC3741D908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31" authorId="0" shapeId="0" xr:uid="{EB311A10-EACE-4328-B5FF-CB4C2D3941BC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31" authorId="0" shapeId="0" xr:uid="{9D953878-CE1B-4F40-B068-A704AD15FE1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31" authorId="0" shapeId="0" xr:uid="{D6671F02-BAF2-406A-8413-96619C1197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1" authorId="1" shapeId="0" xr:uid="{3D8D0BE3-6DA5-4AB6-A17E-04C102045DC8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U31" authorId="1" shapeId="0" xr:uid="{3F17152D-736C-48A6-917A-394C6E367E16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V31" authorId="0" shapeId="0" xr:uid="{B37C98A8-51C4-4805-B1A6-56F949AA7B7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31" authorId="0" shapeId="0" xr:uid="{C624F1C9-7FAB-4838-9BFD-FC167A5441F1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1" authorId="0" shapeId="0" xr:uid="{30646467-D719-4C3B-B32D-0D4E0434045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31" authorId="0" shapeId="0" xr:uid="{C3C8C8CC-DE25-46E6-BACB-1E459D17F83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A31" authorId="0" shapeId="0" xr:uid="{A62A334E-DF03-4961-B333-2E330DF98FAB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N32" authorId="0" shapeId="0" xr:uid="{B83204A6-6CB2-4582-B02D-06A2E8F8B024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Q32" authorId="0" shapeId="0" xr:uid="{6A406935-6714-4118-A882-447DBC91CB2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32" authorId="0" shapeId="0" xr:uid="{1D7FBCB5-4DCC-4D04-82FC-32CF3C81585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2" authorId="0" shapeId="0" xr:uid="{05243F3B-C796-4D7F-8C72-D6882128A4AA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32" authorId="0" shapeId="0" xr:uid="{D292A948-51BE-4214-89E0-6AD444AF6A09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32" authorId="0" shapeId="0" xr:uid="{292A7297-C4C0-49B8-88B4-371BC27088D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32" authorId="0" shapeId="0" xr:uid="{7BAF5550-D6A4-4CF0-989D-CE5DF42A3EE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2" authorId="0" shapeId="0" xr:uid="{937BAD47-16FE-46B9-9426-B0613DC3BE0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N33" authorId="0" shapeId="0" xr:uid="{FCC67995-6043-48AE-80D0-ED509828C5F0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Q33" authorId="0" shapeId="0" xr:uid="{272B3864-A24E-4B25-8B3A-BD9CCD4510D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R33" authorId="0" shapeId="0" xr:uid="{B7779D16-85B5-48F6-BB80-0844B45B4E7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3" authorId="1" shapeId="0" xr:uid="{A2E086DA-44C0-4A9A-8C36-2687477ADD2D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U33" authorId="1" shapeId="0" xr:uid="{C26D0809-ED56-442C-8FB2-0199927503B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V33" authorId="0" shapeId="0" xr:uid="{5966999F-CD2A-4DCB-AEC1-F2A37F73264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X33" authorId="0" shapeId="0" xr:uid="{1EF11136-8295-4C0F-999A-871D2D4A43B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3" authorId="0" shapeId="0" xr:uid="{36F072D3-E752-4648-BFD3-1A723AE4DCA2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33" authorId="0" shapeId="0" xr:uid="{41CF1F0F-0FA0-4E96-84F0-9ACEF19640BC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A33" authorId="0" shapeId="0" xr:uid="{6B87EBC8-92A2-422C-87EF-267F1971296F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P34" authorId="0" shapeId="0" xr:uid="{DEF4D85B-CF1C-4EE0-8763-1F58EEDF607E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R34" authorId="0" shapeId="0" xr:uid="{DBE5F968-0253-4A7E-B1AC-42BA6B1B0AA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4" authorId="0" shapeId="0" xr:uid="{0CF6A08E-F3F8-4DC7-B81E-830EB087E3E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U34" authorId="0" shapeId="0" xr:uid="{D7C02FCE-10A6-43D0-B817-269D8CC546C1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X34" authorId="0" shapeId="0" xr:uid="{BB3DA0D6-8B98-4902-89C4-0FCB8CA8E1B3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4" authorId="0" shapeId="0" xr:uid="{CF61C066-BE2D-41C3-BE5E-DAD85AE51244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34" authorId="0" shapeId="0" xr:uid="{8BADC383-2145-47D8-9264-8ACFFD2E13F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34" authorId="0" shapeId="0" xr:uid="{5BFAE128-B73A-4EA3-BBAA-16E78A05426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P35" authorId="0" shapeId="0" xr:uid="{21BC7BE9-4B13-45DE-BE1E-C2A7364BA413}">
      <text>
        <r>
          <rPr>
            <sz val="9"/>
            <color indexed="81"/>
            <rFont val="HG丸ｺﾞｼｯｸM-PRO"/>
            <family val="3"/>
            <charset val="128"/>
          </rPr>
          <t>通常は初日のAM
3課鈴木由佳課長がお迎え</t>
        </r>
      </text>
    </comment>
    <comment ref="R35" authorId="0" shapeId="0" xr:uid="{A96AB428-48F3-4B27-9D7A-9C3A3BCF029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35" authorId="1" shapeId="0" xr:uid="{C86867FD-9048-485F-83CF-EBFE17220BD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U35" authorId="1" shapeId="0" xr:uid="{E8221A5D-6C33-4E10-A67F-215AE4DFEFFE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X35" authorId="0" shapeId="0" xr:uid="{C4410543-8479-4AA5-8BF0-1CDC1AE44E9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Y35" authorId="0" shapeId="0" xr:uid="{D1B94D2B-E4EE-4BE4-923F-805C51E8027B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Z35" authorId="0" shapeId="0" xr:uid="{92EFCC09-DE76-4FB8-9F5D-1C3DDA1CF250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A35" authorId="0" shapeId="0" xr:uid="{663EAC3E-71F1-4647-9040-F9BD57F91D0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AB35" authorId="0" shapeId="0" xr:uid="{FB400499-6960-4807-8B64-34DE8B8A8B6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C35" authorId="0" shapeId="0" xr:uid="{8EBF2DB1-1092-48C3-A5F8-4C38C957B9F7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L54" authorId="0" shapeId="0" xr:uid="{8FC39430-EC1A-4366-9640-48037EFE9627}">
      <text>
        <r>
          <rPr>
            <sz val="9"/>
            <color indexed="81"/>
            <rFont val="HG丸ｺﾞｼｯｸM-PRO"/>
            <family val="3"/>
            <charset val="128"/>
          </rPr>
          <t>AM推奨
中山道→池袋→目白→高田馬場→新大久保→青山霊園(休憩)</t>
        </r>
      </text>
    </comment>
    <comment ref="M54" authorId="0" shapeId="0" xr:uid="{7BD93B6F-6008-425B-ACA7-9BCF51CCC38C}">
      <text>
        <r>
          <rPr>
            <sz val="9"/>
            <color indexed="81"/>
            <rFont val="HG丸ｺﾞｼｯｸM-PRO"/>
            <family val="3"/>
            <charset val="128"/>
          </rPr>
          <t>AM推奨
若木通り→上板橋駅→日大板橋病院→池袋→明治通り→新宿→西新宿→新宿中央公園(休憩)</t>
        </r>
      </text>
    </comment>
    <comment ref="N54" authorId="0" shapeId="0" xr:uid="{101846DE-66DC-4C92-AAE4-B76CF928B0B1}">
      <text>
        <r>
          <rPr>
            <sz val="9"/>
            <color indexed="81"/>
            <rFont val="HG丸ｺﾞｼｯｸM-PRO"/>
            <family val="3"/>
            <charset val="128"/>
          </rPr>
          <t>AM推奨
銀座→東京駅→大手町→日本橋</t>
        </r>
      </text>
    </comment>
    <comment ref="O54" authorId="0" shapeId="0" xr:uid="{6121060F-032F-4F5E-97A7-EBFA7771942F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P54" authorId="1" shapeId="0" xr:uid="{199649C6-9B13-4BB7-9F56-B7C319C812AB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Q54" authorId="2" shapeId="0" xr:uid="{56C35DBD-8B1C-4997-9EDE-8B0429A502F5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T54" authorId="0" shapeId="0" xr:uid="{7B0AF9B7-B788-4E0F-9220-3F277CC60E2B}">
      <text>
        <r>
          <rPr>
            <sz val="9"/>
            <color indexed="81"/>
            <rFont val="HG丸ｺﾞｼｯｸM-PRO"/>
            <family val="3"/>
            <charset val="128"/>
          </rPr>
          <t>高速に不安が残る人用の補強
※やらなくても良い</t>
        </r>
      </text>
    </comment>
    <comment ref="U54" authorId="3" shapeId="0" xr:uid="{7801EDDD-BF6A-4919-95E3-9DB2E8775442}">
      <text>
        <r>
          <rPr>
            <b/>
            <sz val="9"/>
            <color indexed="81"/>
            <rFont val="MS P ゴシック"/>
            <family val="3"/>
            <charset val="128"/>
          </rPr>
          <t>いくつか課題を与え、
新人さん達だけで、運転研修させる</t>
        </r>
      </text>
    </comment>
    <comment ref="AB54" authorId="0" shapeId="0" xr:uid="{8D32FB1C-1D50-4A5B-8C53-7B4036F99BA7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54" authorId="0" shapeId="0" xr:uid="{D6921B40-8DBD-4310-B598-96877CE15F3B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54" authorId="1" shapeId="0" xr:uid="{27108BF9-A41C-48F1-A5A1-34A9DB28B987}">
      <text>
        <r>
          <rPr>
            <sz val="9"/>
            <color indexed="81"/>
            <rFont val="HG丸ｺﾞｼｯｸM-PRO"/>
            <family val="3"/>
            <charset val="128"/>
          </rPr>
          <t>JPN操作知識・洗車・車内清掃・タイヤ補修・車椅子</t>
        </r>
      </text>
    </comment>
    <comment ref="AF54" authorId="0" shapeId="0" xr:uid="{8B3CB694-5FD0-4D51-9B40-6B7519B55F8D}">
      <text>
        <r>
          <rPr>
            <sz val="9"/>
            <color indexed="81"/>
            <rFont val="HG丸ｺﾞｼｯｸM-PRO"/>
            <family val="3"/>
            <charset val="128"/>
          </rPr>
          <t>通常は初日のAM</t>
        </r>
      </text>
    </comment>
    <comment ref="AG54" authorId="0" shapeId="0" xr:uid="{E7B61E4A-F3D7-4312-AFF9-40D8746FADB4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54" authorId="2" shapeId="0" xr:uid="{6AE9DECD-0AB0-4922-9FC3-5BAAE9467782}">
      <text>
        <r>
          <rPr>
            <sz val="9"/>
            <color indexed="10"/>
            <rFont val="HG丸ｺﾞｼｯｸM-PRO"/>
            <family val="3"/>
            <charset val="128"/>
          </rPr>
          <t>見極め</t>
        </r>
      </text>
    </comment>
    <comment ref="J55" authorId="1" shapeId="0" xr:uid="{2FE2BB1C-6088-41BF-B555-AF426B23BA39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L55" authorId="0" shapeId="0" xr:uid="{7517831D-B64C-4907-BEEC-D54CE6D29BF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55" authorId="0" shapeId="0" xr:uid="{980E41A2-435A-47A2-9E0E-65385D46F3E8}">
      <text>
        <r>
          <rPr>
            <sz val="9"/>
            <color indexed="81"/>
            <rFont val="HG丸ｺﾞｼｯｸM-PRO"/>
            <family val="3"/>
            <charset val="128"/>
          </rPr>
          <t>PM推奨
新宿駅西口地下→バスタ→NHK→渋谷→野沢通り→蛇崩交差点→三宿→三軒茶屋→世田谷営業所</t>
        </r>
      </text>
    </comment>
    <comment ref="N55" authorId="0" shapeId="0" xr:uid="{D1FD596B-21FE-44AE-AC99-A9A7F6411A61}">
      <text>
        <r>
          <rPr>
            <sz val="9"/>
            <color indexed="81"/>
            <rFont val="HG丸ｺﾞｼｯｸM-PRO"/>
            <family val="3"/>
            <charset val="128"/>
          </rPr>
          <t>PM推奨
日比谷→愛宕→浜松町→品川→五反田→大崎→目黒→恵比寿→代官山→渋谷→原宿→千駄ヶ谷トンネル</t>
        </r>
      </text>
    </comment>
    <comment ref="O55" authorId="0" shapeId="0" xr:uid="{426834F1-544B-4F58-93F2-ED8C73ED91A2}">
      <text>
        <r>
          <rPr>
            <sz val="9"/>
            <color indexed="81"/>
            <rFont val="HG丸ｺﾞｼｯｸM-PRO"/>
            <family val="3"/>
            <charset val="128"/>
          </rPr>
          <t>PM推奨
神楽坂→飯田橋→文京区→秋葉原→上野→浅草→スカイツリー→台東営業所</t>
        </r>
      </text>
    </comment>
    <comment ref="P55" authorId="0" shapeId="0" xr:uid="{0BCEF28D-2DDB-4AA7-AE3C-F5FBBF43F997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Q55" authorId="3" shapeId="0" xr:uid="{56ACA38D-B7BC-4E09-9082-5D1B78CB279A}">
      <text>
        <r>
          <rPr>
            <b/>
            <sz val="9"/>
            <color indexed="81"/>
            <rFont val="MS P ゴシック"/>
            <family val="3"/>
            <charset val="128"/>
          </rPr>
          <t>洗車について詳しく教える
（洗車実地研修）</t>
        </r>
      </text>
    </comment>
    <comment ref="T55" authorId="0" shapeId="0" xr:uid="{722E5588-AACC-4AF6-8447-452596163FAA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U55" authorId="3" shapeId="0" xr:uid="{20A331C5-FCC4-4DF4-AEA7-7D7792E18C30}">
      <text>
        <r>
          <rPr>
            <b/>
            <sz val="9"/>
            <color indexed="81"/>
            <rFont val="MS P ゴシック"/>
            <family val="3"/>
            <charset val="128"/>
          </rPr>
          <t>新人さん自身で課題を作り、運転研修させる</t>
        </r>
      </text>
    </comment>
    <comment ref="AB55" authorId="0" shapeId="0" xr:uid="{BC2C5FA8-5017-4A78-897D-0D226DE03FC6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D55" authorId="0" shapeId="0" xr:uid="{EFE241FB-CECB-48FE-966E-1E7EE7B8BB2C}">
      <text>
        <r>
          <rPr>
            <sz val="9"/>
            <color indexed="81"/>
            <rFont val="HG丸ｺﾞｼｯｸM-PRO"/>
            <family val="3"/>
            <charset val="128"/>
          </rPr>
          <t>AM推奨
羽田空港→羽田営業所→お台場→東雲営業所(休憩)</t>
        </r>
      </text>
    </comment>
    <comment ref="AE55" authorId="0" shapeId="0" xr:uid="{B130C19C-6688-4C1F-B9C2-E18E76FEF61D}">
      <text>
        <r>
          <rPr>
            <sz val="9"/>
            <color indexed="81"/>
            <rFont val="HG丸ｺﾞｼｯｸM-PRO"/>
            <family val="3"/>
            <charset val="128"/>
          </rPr>
          <t>事故映像・KYT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F55" authorId="1" shapeId="0" xr:uid="{A089E9EB-A5D8-4EA2-ADF3-82B5B43988FB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AG55" authorId="0" shapeId="0" xr:uid="{1D5F4F5A-4518-4E92-AEE3-5D398426A03D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AH55" authorId="0" shapeId="0" xr:uid="{8B12D49B-9CEE-45DE-B2B6-96A526CEEEB0}">
      <text>
        <r>
          <rPr>
            <sz val="9"/>
            <color indexed="81"/>
            <rFont val="HG丸ｺﾞｼｯｸM-PRO"/>
            <family val="3"/>
            <charset val="128"/>
          </rPr>
          <t>狭路右左折・縦列・タコツボ・南砂が空いていれば活用可</t>
        </r>
      </text>
    </comment>
    <comment ref="K60" authorId="0" shapeId="0" xr:uid="{3E3BD16A-813F-4CDF-9A03-3A5924D7179E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60" authorId="0" shapeId="0" xr:uid="{A50E1103-0C11-4CC4-A3AA-A60F5897C6B5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61" authorId="0" shapeId="0" xr:uid="{A9DCA115-A152-4EA9-B66B-D4EDEEC54A4D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S61" authorId="1" shapeId="0" xr:uid="{F3D8276C-58BE-4C1B-8FEA-8743BA9E4AF5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  <comment ref="J66" authorId="0" shapeId="0" xr:uid="{388C01E3-ABDF-4743-81AE-60556AB1FE6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66" authorId="0" shapeId="0" xr:uid="{0D130D93-8A71-434E-AD1A-48B6120C544C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6" authorId="0" shapeId="0" xr:uid="{5B540238-658A-42F7-BA74-D1EEAD17DB98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J67" authorId="0" shapeId="0" xr:uid="{8711C35C-C3FF-4FB5-8E2F-2367AD2B3EB7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K67" authorId="0" shapeId="0" xr:uid="{7F88D689-57F4-475D-9D46-AB930F5AB3F6}">
      <text>
        <r>
          <rPr>
            <sz val="9"/>
            <color indexed="81"/>
            <rFont val="HG丸ｺﾞｼｯｸM-PRO"/>
            <family val="3"/>
            <charset val="128"/>
          </rPr>
          <t>PM推奨
西麻布→六本木→赤坂→虎ノ門→汐留→築地→環二トンネル</t>
        </r>
      </text>
    </comment>
    <comment ref="M67" authorId="1" shapeId="0" xr:uid="{AC6E41BC-A2A6-42DD-B472-B5E5C48A6501}">
      <text>
        <r>
          <rPr>
            <sz val="9"/>
            <color indexed="81"/>
            <rFont val="HG丸ｺﾞｼｯｸM-PRO"/>
            <family val="3"/>
            <charset val="128"/>
          </rPr>
          <t>班長パート・職員パート</t>
        </r>
      </text>
    </comment>
  </commentList>
</comments>
</file>

<file path=xl/sharedStrings.xml><?xml version="1.0" encoding="utf-8"?>
<sst xmlns="http://schemas.openxmlformats.org/spreadsheetml/2006/main" count="3854" uniqueCount="294">
  <si>
    <t>NO</t>
    <phoneticPr fontId="4"/>
  </si>
  <si>
    <t>課</t>
    <rPh sb="0" eb="1">
      <t>カ</t>
    </rPh>
    <phoneticPr fontId="4"/>
  </si>
  <si>
    <t>班</t>
    <rPh sb="0" eb="1">
      <t>ハン</t>
    </rPh>
    <phoneticPr fontId="4"/>
  </si>
  <si>
    <t>配属日</t>
    <rPh sb="0" eb="2">
      <t>ハイゾク</t>
    </rPh>
    <rPh sb="2" eb="3">
      <t>ビ</t>
    </rPh>
    <phoneticPr fontId="4"/>
  </si>
  <si>
    <t>初乗務</t>
    <rPh sb="0" eb="1">
      <t>ハツ</t>
    </rPh>
    <rPh sb="1" eb="3">
      <t>ジョウム</t>
    </rPh>
    <phoneticPr fontId="4"/>
  </si>
  <si>
    <t>社員番号</t>
    <rPh sb="0" eb="2">
      <t>シャイン</t>
    </rPh>
    <rPh sb="2" eb="4">
      <t>バンゴウ</t>
    </rPh>
    <phoneticPr fontId="4"/>
  </si>
  <si>
    <t>氏名</t>
    <rPh sb="0" eb="2">
      <t>シメイ</t>
    </rPh>
    <phoneticPr fontId="4"/>
  </si>
  <si>
    <t>ｶﾅ氏名</t>
    <rPh sb="2" eb="4">
      <t>シメイ</t>
    </rPh>
    <phoneticPr fontId="4"/>
  </si>
  <si>
    <t>初乗務</t>
    <rPh sb="0" eb="1">
      <t>ハツ</t>
    </rPh>
    <rPh sb="1" eb="3">
      <t>ジョウム</t>
    </rPh>
    <phoneticPr fontId="3"/>
  </si>
  <si>
    <t>課長</t>
    <rPh sb="0" eb="2">
      <t>カチョウ</t>
    </rPh>
    <phoneticPr fontId="3"/>
  </si>
  <si>
    <t>基本的な考え方
・初乗務は早番班長が添乗する</t>
    <rPh sb="0" eb="3">
      <t>キホンテキ</t>
    </rPh>
    <rPh sb="4" eb="5">
      <t>カンガ</t>
    </rPh>
    <rPh sb="6" eb="7">
      <t>カタ</t>
    </rPh>
    <rPh sb="9" eb="10">
      <t>ハツ</t>
    </rPh>
    <rPh sb="10" eb="12">
      <t>ジョウム</t>
    </rPh>
    <rPh sb="13" eb="15">
      <t>ハヤバン</t>
    </rPh>
    <rPh sb="15" eb="17">
      <t>ハンチョウ</t>
    </rPh>
    <rPh sb="18" eb="20">
      <t>テンジョウ</t>
    </rPh>
    <phoneticPr fontId="3"/>
  </si>
  <si>
    <t>公休</t>
    <rPh sb="0" eb="2">
      <t>コウキュウ</t>
    </rPh>
    <phoneticPr fontId="3"/>
  </si>
  <si>
    <t>月</t>
    <rPh sb="0" eb="1">
      <t>ゲツ</t>
    </rPh>
    <phoneticPr fontId="3"/>
  </si>
  <si>
    <t>事故</t>
    <rPh sb="0" eb="2">
      <t>ジコ</t>
    </rPh>
    <phoneticPr fontId="3"/>
  </si>
  <si>
    <t>駒の種類</t>
    <rPh sb="0" eb="1">
      <t>コマ</t>
    </rPh>
    <rPh sb="2" eb="4">
      <t>シュルイ</t>
    </rPh>
    <phoneticPr fontId="3"/>
  </si>
  <si>
    <t>座学</t>
    <rPh sb="0" eb="2">
      <t>ザガク</t>
    </rPh>
    <phoneticPr fontId="3"/>
  </si>
  <si>
    <t>実務</t>
    <rPh sb="0" eb="2">
      <t>ジツム</t>
    </rPh>
    <phoneticPr fontId="3"/>
  </si>
  <si>
    <t>運転Ⅰ</t>
    <rPh sb="0" eb="2">
      <t>ウンテン</t>
    </rPh>
    <phoneticPr fontId="3"/>
  </si>
  <si>
    <t>運転Ⅱ</t>
    <rPh sb="0" eb="2">
      <t>ウンテン</t>
    </rPh>
    <phoneticPr fontId="3"/>
  </si>
  <si>
    <t>運転Ⅲ</t>
    <rPh sb="0" eb="2">
      <t>ウンテン</t>
    </rPh>
    <phoneticPr fontId="3"/>
  </si>
  <si>
    <t>運転Ⅳ</t>
    <rPh sb="0" eb="2">
      <t>ウンテン</t>
    </rPh>
    <phoneticPr fontId="3"/>
  </si>
  <si>
    <t>運転Ⅴ</t>
    <rPh sb="0" eb="2">
      <t>ウンテン</t>
    </rPh>
    <phoneticPr fontId="3"/>
  </si>
  <si>
    <t>補強</t>
    <rPh sb="0" eb="2">
      <t>ホキョウ</t>
    </rPh>
    <phoneticPr fontId="3"/>
  </si>
  <si>
    <t>接遇</t>
    <rPh sb="0" eb="2">
      <t>セツグウ</t>
    </rPh>
    <phoneticPr fontId="3"/>
  </si>
  <si>
    <t>高速</t>
    <rPh sb="0" eb="2">
      <t>コウソク</t>
    </rPh>
    <phoneticPr fontId="3"/>
  </si>
  <si>
    <t>運転Ⅵ</t>
    <rPh sb="0" eb="2">
      <t>ウンテン</t>
    </rPh>
    <phoneticPr fontId="3"/>
  </si>
  <si>
    <t>運転Ⅶ</t>
    <rPh sb="0" eb="2">
      <t>ウンテン</t>
    </rPh>
    <phoneticPr fontId="3"/>
  </si>
  <si>
    <t>運転Ⅷ</t>
    <rPh sb="0" eb="2">
      <t>ウンテン</t>
    </rPh>
    <phoneticPr fontId="3"/>
  </si>
  <si>
    <t>土</t>
  </si>
  <si>
    <t>日</t>
  </si>
  <si>
    <t>月</t>
  </si>
  <si>
    <t>火</t>
  </si>
  <si>
    <t>水</t>
  </si>
  <si>
    <t>木</t>
  </si>
  <si>
    <t>金</t>
  </si>
  <si>
    <t>添乗</t>
    <rPh sb="0" eb="2">
      <t>テンジョウ</t>
    </rPh>
    <phoneticPr fontId="3"/>
  </si>
  <si>
    <t>課題走行</t>
    <rPh sb="0" eb="4">
      <t>カダイソウコウ</t>
    </rPh>
    <phoneticPr fontId="3"/>
  </si>
  <si>
    <t>配属</t>
    <rPh sb="0" eb="2">
      <t>ハイゾク</t>
    </rPh>
    <phoneticPr fontId="3"/>
  </si>
  <si>
    <t>自由走行</t>
    <rPh sb="0" eb="4">
      <t>ジユウソウコウ</t>
    </rPh>
    <phoneticPr fontId="3"/>
  </si>
  <si>
    <t>洗車</t>
    <rPh sb="0" eb="2">
      <t>センシャ</t>
    </rPh>
    <phoneticPr fontId="3"/>
  </si>
  <si>
    <t>小田</t>
    <rPh sb="0" eb="2">
      <t>オダ</t>
    </rPh>
    <phoneticPr fontId="3"/>
  </si>
  <si>
    <t>内勤</t>
    <rPh sb="0" eb="2">
      <t>ナイキン</t>
    </rPh>
    <phoneticPr fontId="3"/>
  </si>
  <si>
    <t>予定</t>
    <rPh sb="0" eb="2">
      <t>ヨテイ</t>
    </rPh>
    <phoneticPr fontId="3"/>
  </si>
  <si>
    <t>1課</t>
    <rPh sb="1" eb="2">
      <t>カ</t>
    </rPh>
    <phoneticPr fontId="3"/>
  </si>
  <si>
    <t>ロッカー番号</t>
    <rPh sb="4" eb="6">
      <t>バンゴウ</t>
    </rPh>
    <phoneticPr fontId="4"/>
  </si>
  <si>
    <t>4課</t>
    <rPh sb="1" eb="2">
      <t>カ</t>
    </rPh>
    <phoneticPr fontId="3"/>
  </si>
  <si>
    <t>通院</t>
    <rPh sb="0" eb="2">
      <t>ツウイン</t>
    </rPh>
    <phoneticPr fontId="3"/>
  </si>
  <si>
    <t>所長</t>
    <rPh sb="0" eb="2">
      <t>ショチョウ</t>
    </rPh>
    <phoneticPr fontId="3"/>
  </si>
  <si>
    <t>落合</t>
    <rPh sb="0" eb="2">
      <t>オチアイ</t>
    </rPh>
    <phoneticPr fontId="3"/>
  </si>
  <si>
    <t>運転</t>
    <rPh sb="0" eb="2">
      <t>ウンテン</t>
    </rPh>
    <phoneticPr fontId="3"/>
  </si>
  <si>
    <t>羽田</t>
    <rPh sb="0" eb="2">
      <t>ハネダ</t>
    </rPh>
    <phoneticPr fontId="3"/>
  </si>
  <si>
    <t>狭路</t>
    <rPh sb="0" eb="2">
      <t>キョウロ</t>
    </rPh>
    <phoneticPr fontId="3"/>
  </si>
  <si>
    <t>研修</t>
    <rPh sb="0" eb="2">
      <t>ケンシュウ</t>
    </rPh>
    <phoneticPr fontId="3"/>
  </si>
  <si>
    <t>① キャリア入社（基本研修カリキュラム  7日間・・・運転に不安がある場合、エンドレス）</t>
    <phoneticPr fontId="3"/>
  </si>
  <si>
    <t>４課</t>
    <rPh sb="1" eb="2">
      <t>カ</t>
    </rPh>
    <phoneticPr fontId="3"/>
  </si>
  <si>
    <t>小田班長（事故教育）</t>
    <rPh sb="0" eb="2">
      <t>オダ</t>
    </rPh>
    <rPh sb="2" eb="4">
      <t>ハンチョウ</t>
    </rPh>
    <rPh sb="5" eb="7">
      <t>ジコ</t>
    </rPh>
    <rPh sb="7" eb="9">
      <t>キョウイク</t>
    </rPh>
    <phoneticPr fontId="3"/>
  </si>
  <si>
    <t>休</t>
    <rPh sb="0" eb="1">
      <t>キュウ</t>
    </rPh>
    <phoneticPr fontId="3"/>
  </si>
  <si>
    <t>按田</t>
    <rPh sb="0" eb="2">
      <t>アンダ</t>
    </rPh>
    <phoneticPr fontId="3"/>
  </si>
  <si>
    <t>同窓会</t>
    <rPh sb="0" eb="3">
      <t>ドウソウカイ</t>
    </rPh>
    <phoneticPr fontId="3"/>
  </si>
  <si>
    <t>・未収ⅠorⅡはOK</t>
    <rPh sb="1" eb="3">
      <t>ミシュウ</t>
    </rPh>
    <phoneticPr fontId="3"/>
  </si>
  <si>
    <t>・研修中の表示板を掲示しメーターは使う</t>
    <rPh sb="1" eb="4">
      <t>ケンシュウチュウ</t>
    </rPh>
    <rPh sb="5" eb="8">
      <t>ヒョウジバン</t>
    </rPh>
    <rPh sb="9" eb="11">
      <t>ケイジ</t>
    </rPh>
    <rPh sb="17" eb="18">
      <t>ツカ</t>
    </rPh>
    <phoneticPr fontId="3"/>
  </si>
  <si>
    <t>・自分のSDカードを挿して開局する</t>
    <rPh sb="1" eb="3">
      <t>ジブン</t>
    </rPh>
    <rPh sb="10" eb="11">
      <t>サ</t>
    </rPh>
    <rPh sb="13" eb="15">
      <t>カイキョク</t>
    </rPh>
    <phoneticPr fontId="3"/>
  </si>
  <si>
    <t>・交通系などは引き落としさてしまうので不可</t>
    <rPh sb="1" eb="4">
      <t>コウツウケイ</t>
    </rPh>
    <rPh sb="7" eb="8">
      <t>ヒ</t>
    </rPh>
    <rPh sb="9" eb="10">
      <t>オ</t>
    </rPh>
    <rPh sb="19" eb="21">
      <t>フカ</t>
    </rPh>
    <phoneticPr fontId="3"/>
  </si>
  <si>
    <t>・1,000円～2,000円の距離でロープレ</t>
    <rPh sb="6" eb="7">
      <t>エン</t>
    </rPh>
    <rPh sb="13" eb="14">
      <t>エン</t>
    </rPh>
    <rPh sb="15" eb="17">
      <t>キョリ</t>
    </rPh>
    <phoneticPr fontId="3"/>
  </si>
  <si>
    <t>・自分の知ってるエリアで大丈夫</t>
    <rPh sb="1" eb="3">
      <t>ジブン</t>
    </rPh>
    <rPh sb="4" eb="5">
      <t>シ</t>
    </rPh>
    <rPh sb="12" eb="15">
      <t>ダイジョウブ</t>
    </rPh>
    <phoneticPr fontId="3"/>
  </si>
  <si>
    <t>・帰庫したら入庫し事務所で日報と納金明細を出す</t>
    <rPh sb="1" eb="3">
      <t>キコ</t>
    </rPh>
    <rPh sb="6" eb="8">
      <t>ニュウコ</t>
    </rPh>
    <rPh sb="9" eb="12">
      <t>ジムショ</t>
    </rPh>
    <rPh sb="13" eb="15">
      <t>ニッポウ</t>
    </rPh>
    <rPh sb="16" eb="20">
      <t>ノウキンメイサイ</t>
    </rPh>
    <rPh sb="21" eb="22">
      <t>ダ</t>
    </rPh>
    <phoneticPr fontId="3"/>
  </si>
  <si>
    <t>・日報は人数分コピーし渡す、納金明細は破棄</t>
    <rPh sb="1" eb="3">
      <t>ニッポウ</t>
    </rPh>
    <rPh sb="4" eb="7">
      <t>ニンズウブン</t>
    </rPh>
    <rPh sb="11" eb="12">
      <t>ワタ</t>
    </rPh>
    <rPh sb="14" eb="18">
      <t>ノウキンメイサイ</t>
    </rPh>
    <rPh sb="19" eb="21">
      <t>ハキ</t>
    </rPh>
    <phoneticPr fontId="3"/>
  </si>
  <si>
    <t>・始業終業を書かせて、日報とのセットを回収</t>
    <rPh sb="1" eb="5">
      <t>シギョウシュウギョウ</t>
    </rPh>
    <rPh sb="6" eb="7">
      <t>カ</t>
    </rPh>
    <rPh sb="11" eb="13">
      <t>ニッポウ</t>
    </rPh>
    <rPh sb="19" eb="21">
      <t>カイシュウ</t>
    </rPh>
    <phoneticPr fontId="3"/>
  </si>
  <si>
    <t>・洗車を先にやってもらう</t>
    <rPh sb="1" eb="3">
      <t>センシャ</t>
    </rPh>
    <rPh sb="4" eb="5">
      <t>サキ</t>
    </rPh>
    <phoneticPr fontId="3"/>
  </si>
  <si>
    <t>・補助ミラーを使う</t>
    <rPh sb="1" eb="3">
      <t>ホジョ</t>
    </rPh>
    <rPh sb="7" eb="8">
      <t>ツカ</t>
    </rPh>
    <phoneticPr fontId="3"/>
  </si>
  <si>
    <t>２課</t>
    <rPh sb="1" eb="2">
      <t>カ</t>
    </rPh>
    <phoneticPr fontId="3"/>
  </si>
  <si>
    <t>事故
防止</t>
    <rPh sb="0" eb="2">
      <t>ジコ</t>
    </rPh>
    <rPh sb="3" eb="5">
      <t>ボウシ</t>
    </rPh>
    <phoneticPr fontId="3"/>
  </si>
  <si>
    <t>落合班長（新人教育）</t>
    <rPh sb="0" eb="2">
      <t>オチアイ</t>
    </rPh>
    <rPh sb="2" eb="4">
      <t>ハンチョウ</t>
    </rPh>
    <rPh sb="5" eb="7">
      <t>シンジン</t>
    </rPh>
    <rPh sb="7" eb="9">
      <t>キョウイク</t>
    </rPh>
    <phoneticPr fontId="3"/>
  </si>
  <si>
    <t>清水　希</t>
    <rPh sb="0" eb="2">
      <t>シミズ</t>
    </rPh>
    <rPh sb="3" eb="4">
      <t>ノゾミ</t>
    </rPh>
    <phoneticPr fontId="3"/>
  </si>
  <si>
    <t>髙橋　怜央</t>
    <rPh sb="3" eb="5">
      <t>レオ</t>
    </rPh>
    <phoneticPr fontId="3"/>
  </si>
  <si>
    <t>禧久　和</t>
    <rPh sb="3" eb="4">
      <t>ワ</t>
    </rPh>
    <phoneticPr fontId="3"/>
  </si>
  <si>
    <t>定例会</t>
    <rPh sb="0" eb="2">
      <t>テイレイ</t>
    </rPh>
    <rPh sb="2" eb="3">
      <t>カイ</t>
    </rPh>
    <phoneticPr fontId="3"/>
  </si>
  <si>
    <t>当直</t>
    <rPh sb="0" eb="2">
      <t>トウチョクハイトウ</t>
    </rPh>
    <phoneticPr fontId="3"/>
  </si>
  <si>
    <t>実研</t>
    <rPh sb="0" eb="1">
      <t>ジツ</t>
    </rPh>
    <rPh sb="1" eb="2">
      <t>ケン</t>
    </rPh>
    <phoneticPr fontId="3"/>
  </si>
  <si>
    <t>？</t>
    <phoneticPr fontId="3"/>
  </si>
  <si>
    <t>津田　啓佑</t>
    <rPh sb="0" eb="2">
      <t>ツダ</t>
    </rPh>
    <rPh sb="3" eb="4">
      <t>ケイ</t>
    </rPh>
    <rPh sb="4" eb="5">
      <t>ユウ</t>
    </rPh>
    <phoneticPr fontId="3"/>
  </si>
  <si>
    <t>草深　啓太</t>
    <rPh sb="0" eb="1">
      <t>クサ</t>
    </rPh>
    <rPh sb="1" eb="2">
      <t>フカ</t>
    </rPh>
    <rPh sb="3" eb="4">
      <t>ケイ</t>
    </rPh>
    <rPh sb="4" eb="5">
      <t>フト</t>
    </rPh>
    <phoneticPr fontId="3"/>
  </si>
  <si>
    <t>船場　雅輝</t>
    <rPh sb="0" eb="2">
      <t>センバ</t>
    </rPh>
    <rPh sb="3" eb="5">
      <t>マサテル</t>
    </rPh>
    <phoneticPr fontId="3"/>
  </si>
  <si>
    <t>日野　国雄</t>
    <rPh sb="0" eb="2">
      <t>ヒノ</t>
    </rPh>
    <rPh sb="3" eb="5">
      <t>クニオ</t>
    </rPh>
    <phoneticPr fontId="3"/>
  </si>
  <si>
    <t>シミズ　ノゾミ</t>
    <phoneticPr fontId="3"/>
  </si>
  <si>
    <t>タカハシ　レオ</t>
    <phoneticPr fontId="3"/>
  </si>
  <si>
    <t>キク　ナゴミ</t>
    <phoneticPr fontId="3"/>
  </si>
  <si>
    <t>クサブカ　ケイタ</t>
    <phoneticPr fontId="3"/>
  </si>
  <si>
    <t>ツダ　ケイスケ</t>
    <phoneticPr fontId="3"/>
  </si>
  <si>
    <t>フナバ　マサキ</t>
    <phoneticPr fontId="3"/>
  </si>
  <si>
    <t>ヒノ　クニオ</t>
    <phoneticPr fontId="3"/>
  </si>
  <si>
    <t>3課</t>
    <rPh sb="1" eb="2">
      <t>カ</t>
    </rPh>
    <phoneticPr fontId="3"/>
  </si>
  <si>
    <t>未定</t>
    <rPh sb="0" eb="2">
      <t>ミテイ</t>
    </rPh>
    <phoneticPr fontId="3"/>
  </si>
  <si>
    <t>３課</t>
    <rPh sb="1" eb="2">
      <t>カ</t>
    </rPh>
    <phoneticPr fontId="3"/>
  </si>
  <si>
    <t>観音</t>
    <rPh sb="0" eb="2">
      <t>カンノン</t>
    </rPh>
    <phoneticPr fontId="3"/>
  </si>
  <si>
    <t>１課</t>
    <rPh sb="1" eb="2">
      <t>カ</t>
    </rPh>
    <phoneticPr fontId="3"/>
  </si>
  <si>
    <t>こち売</t>
    <rPh sb="2" eb="3">
      <t>ウ</t>
    </rPh>
    <phoneticPr fontId="3"/>
  </si>
  <si>
    <r>
      <rPr>
        <b/>
        <sz val="14"/>
        <rFont val="Meiryo UI"/>
        <family val="3"/>
        <charset val="128"/>
      </rPr>
      <t>実研</t>
    </r>
    <r>
      <rPr>
        <sz val="9"/>
        <rFont val="Meiryo UI"/>
        <family val="3"/>
        <charset val="128"/>
      </rPr>
      <t>　当直</t>
    </r>
    <rPh sb="0" eb="1">
      <t>ジツ</t>
    </rPh>
    <rPh sb="1" eb="2">
      <t>ケン</t>
    </rPh>
    <rPh sb="3" eb="5">
      <t>トウチョクハイトウ</t>
    </rPh>
    <phoneticPr fontId="3"/>
  </si>
  <si>
    <t>確定</t>
    <rPh sb="0" eb="2">
      <t>カクテイ</t>
    </rPh>
    <phoneticPr fontId="3"/>
  </si>
  <si>
    <t>丸山　真利子</t>
    <rPh sb="0" eb="2">
      <t>マルヤマ</t>
    </rPh>
    <rPh sb="3" eb="6">
      <t>マリコ</t>
    </rPh>
    <phoneticPr fontId="6"/>
  </si>
  <si>
    <t>大久保　友美</t>
    <rPh sb="0" eb="3">
      <t>オオクボ</t>
    </rPh>
    <rPh sb="4" eb="6">
      <t>トモミ</t>
    </rPh>
    <phoneticPr fontId="6"/>
  </si>
  <si>
    <t>中村　道</t>
    <rPh sb="0" eb="2">
      <t>ナカムラ</t>
    </rPh>
    <rPh sb="3" eb="4">
      <t>ミチ</t>
    </rPh>
    <phoneticPr fontId="6"/>
  </si>
  <si>
    <t>櫻井　陽介</t>
    <rPh sb="0" eb="2">
      <t>サクライ</t>
    </rPh>
    <rPh sb="3" eb="5">
      <t>ヨウスケ</t>
    </rPh>
    <phoneticPr fontId="6"/>
  </si>
  <si>
    <t>・流し方を教えてもOK（メンタル面を考えると、偶々や通りかかったような機会、又はコアとなる営業地点１～２ヶ所が望ましい？）</t>
    <rPh sb="1" eb="2">
      <t>ナガ</t>
    </rPh>
    <rPh sb="3" eb="4">
      <t>カタ</t>
    </rPh>
    <rPh sb="5" eb="6">
      <t>オシ</t>
    </rPh>
    <rPh sb="16" eb="17">
      <t>メン</t>
    </rPh>
    <rPh sb="18" eb="19">
      <t>カンガ</t>
    </rPh>
    <rPh sb="23" eb="25">
      <t>タマタマ</t>
    </rPh>
    <rPh sb="26" eb="27">
      <t>トオ</t>
    </rPh>
    <rPh sb="35" eb="37">
      <t>キカイ</t>
    </rPh>
    <rPh sb="38" eb="39">
      <t>マタ</t>
    </rPh>
    <rPh sb="45" eb="47">
      <t>エイギョウ</t>
    </rPh>
    <rPh sb="47" eb="49">
      <t>チテン</t>
    </rPh>
    <rPh sb="53" eb="54">
      <t>ショ</t>
    </rPh>
    <rPh sb="55" eb="56">
      <t>ノゾ</t>
    </rPh>
    <phoneticPr fontId="3"/>
  </si>
  <si>
    <t>ナカムラ　オサム</t>
    <phoneticPr fontId="3"/>
  </si>
  <si>
    <t>オオクボ　トモミ</t>
    <phoneticPr fontId="3"/>
  </si>
  <si>
    <t>マルヤマ　マリコ</t>
    <phoneticPr fontId="3"/>
  </si>
  <si>
    <t>サクライ　ヨウスケ</t>
    <phoneticPr fontId="3"/>
  </si>
  <si>
    <t>森﨑　瑛基</t>
    <rPh sb="0" eb="2">
      <t>モリサキ</t>
    </rPh>
    <phoneticPr fontId="6"/>
  </si>
  <si>
    <t>井尾　笙太</t>
    <rPh sb="0" eb="2">
      <t>イオ</t>
    </rPh>
    <phoneticPr fontId="6"/>
  </si>
  <si>
    <t>モリサキ　エイキ</t>
    <phoneticPr fontId="3"/>
  </si>
  <si>
    <t>イオ　ショウタ</t>
    <phoneticPr fontId="3"/>
  </si>
  <si>
    <t>2025年度入社　新人乗務社員研修（2026年　3月度）</t>
    <rPh sb="4" eb="5">
      <t>ネン</t>
    </rPh>
    <rPh sb="5" eb="6">
      <t>ド</t>
    </rPh>
    <rPh sb="6" eb="8">
      <t>ニュウシャ</t>
    </rPh>
    <rPh sb="9" eb="11">
      <t>シンジン</t>
    </rPh>
    <rPh sb="11" eb="13">
      <t>ジョウム</t>
    </rPh>
    <rPh sb="13" eb="15">
      <t>シャイン</t>
    </rPh>
    <rPh sb="15" eb="17">
      <t>ケンシュウ</t>
    </rPh>
    <rPh sb="22" eb="23">
      <t>ネン</t>
    </rPh>
    <rPh sb="25" eb="26">
      <t>ツキ</t>
    </rPh>
    <rPh sb="26" eb="27">
      <t>ド</t>
    </rPh>
    <phoneticPr fontId="4"/>
  </si>
  <si>
    <r>
      <rPr>
        <b/>
        <sz val="14"/>
        <rFont val="Meiryo UI"/>
        <family val="3"/>
        <charset val="128"/>
      </rPr>
      <t>配属</t>
    </r>
    <r>
      <rPr>
        <sz val="9"/>
        <rFont val="Meiryo UI"/>
        <family val="3"/>
        <charset val="128"/>
      </rPr>
      <t>　当直</t>
    </r>
    <rPh sb="0" eb="2">
      <t>ハイゾク</t>
    </rPh>
    <rPh sb="3" eb="5">
      <t>トウチョクハイトウ</t>
    </rPh>
    <phoneticPr fontId="3"/>
  </si>
  <si>
    <t>3月</t>
    <rPh sb="1" eb="2">
      <t>ガツ</t>
    </rPh>
    <phoneticPr fontId="3"/>
  </si>
  <si>
    <t>こち売　当直</t>
    <rPh sb="2" eb="3">
      <t>ウ</t>
    </rPh>
    <rPh sb="4" eb="6">
      <t>トウチョクハイトウ</t>
    </rPh>
    <phoneticPr fontId="3"/>
  </si>
  <si>
    <t>豊後　初徳</t>
    <rPh sb="0" eb="2">
      <t>ブンゴ</t>
    </rPh>
    <rPh sb="3" eb="4">
      <t>ハツ</t>
    </rPh>
    <rPh sb="4" eb="5">
      <t>トク</t>
    </rPh>
    <phoneticPr fontId="3"/>
  </si>
  <si>
    <t>松澤　優樹</t>
    <rPh sb="0" eb="2">
      <t>マツザワ</t>
    </rPh>
    <rPh sb="3" eb="4">
      <t>ユウ</t>
    </rPh>
    <rPh sb="4" eb="5">
      <t>ジュ</t>
    </rPh>
    <phoneticPr fontId="3"/>
  </si>
  <si>
    <t>福田　義宜</t>
    <rPh sb="0" eb="2">
      <t>フクダ</t>
    </rPh>
    <rPh sb="3" eb="4">
      <t>タダシ</t>
    </rPh>
    <rPh sb="4" eb="5">
      <t>ギ</t>
    </rPh>
    <phoneticPr fontId="3"/>
  </si>
  <si>
    <t>友引</t>
    <rPh sb="0" eb="2">
      <t>トモビキ</t>
    </rPh>
    <phoneticPr fontId="3"/>
  </si>
  <si>
    <t>2025年度入社　新人乗務社員研修（2026年　4月度）</t>
    <rPh sb="4" eb="5">
      <t>ネン</t>
    </rPh>
    <rPh sb="5" eb="6">
      <t>ド</t>
    </rPh>
    <rPh sb="6" eb="8">
      <t>ニュウシャ</t>
    </rPh>
    <rPh sb="9" eb="11">
      <t>シンジン</t>
    </rPh>
    <rPh sb="11" eb="13">
      <t>ジョウム</t>
    </rPh>
    <rPh sb="13" eb="15">
      <t>シャイン</t>
    </rPh>
    <rPh sb="15" eb="17">
      <t>ケンシュウ</t>
    </rPh>
    <rPh sb="22" eb="23">
      <t>ネン</t>
    </rPh>
    <rPh sb="25" eb="26">
      <t>ツキ</t>
    </rPh>
    <rPh sb="26" eb="27">
      <t>ド</t>
    </rPh>
    <phoneticPr fontId="4"/>
  </si>
  <si>
    <t>4月</t>
    <rPh sb="1" eb="2">
      <t>ガツ</t>
    </rPh>
    <phoneticPr fontId="3"/>
  </si>
  <si>
    <t>フクダ　ヨシノブ</t>
    <phoneticPr fontId="3"/>
  </si>
  <si>
    <t>ブンゴ　ハツノリ</t>
    <phoneticPr fontId="3"/>
  </si>
  <si>
    <t>マツザワ　ユウキ</t>
    <phoneticPr fontId="3"/>
  </si>
  <si>
    <t>福井　寛大</t>
    <rPh sb="0" eb="2">
      <t>フクイ</t>
    </rPh>
    <rPh sb="3" eb="5">
      <t>カンダイ</t>
    </rPh>
    <phoneticPr fontId="3"/>
  </si>
  <si>
    <t>成田　遥南</t>
    <rPh sb="0" eb="2">
      <t>ナリタ</t>
    </rPh>
    <rPh sb="3" eb="5">
      <t>ハルカミナミ</t>
    </rPh>
    <phoneticPr fontId="3"/>
  </si>
  <si>
    <t>太田　剣弥</t>
    <rPh sb="0" eb="2">
      <t>オオタ</t>
    </rPh>
    <rPh sb="3" eb="4">
      <t>ケン</t>
    </rPh>
    <rPh sb="4" eb="5">
      <t>ヤ</t>
    </rPh>
    <phoneticPr fontId="3"/>
  </si>
  <si>
    <t>フクイ　カンダイ</t>
    <phoneticPr fontId="3"/>
  </si>
  <si>
    <t>オオタ　ケンヤ</t>
    <phoneticPr fontId="3"/>
  </si>
  <si>
    <t>ナリタ　ハルナ</t>
    <phoneticPr fontId="3"/>
  </si>
  <si>
    <r>
      <rPr>
        <b/>
        <sz val="16"/>
        <rFont val="Meiryo UI"/>
        <family val="3"/>
        <charset val="128"/>
      </rPr>
      <t>実研</t>
    </r>
    <r>
      <rPr>
        <sz val="9"/>
        <rFont val="Meiryo UI"/>
        <family val="3"/>
        <charset val="128"/>
      </rPr>
      <t>　当直</t>
    </r>
    <rPh sb="0" eb="2">
      <t>ジツケン</t>
    </rPh>
    <rPh sb="3" eb="5">
      <t>トウチョクハイトウ</t>
    </rPh>
    <phoneticPr fontId="3"/>
  </si>
  <si>
    <t>原田</t>
    <rPh sb="0" eb="2">
      <t>ハラダ</t>
    </rPh>
    <phoneticPr fontId="3"/>
  </si>
  <si>
    <t>佐々木　昭太</t>
    <rPh sb="0" eb="3">
      <t>ササキ</t>
    </rPh>
    <rPh sb="4" eb="5">
      <t>アキラ</t>
    </rPh>
    <rPh sb="5" eb="6">
      <t>タ</t>
    </rPh>
    <phoneticPr fontId="3"/>
  </si>
  <si>
    <t>寺尾　悠希</t>
    <rPh sb="0" eb="2">
      <t>テラオ</t>
    </rPh>
    <rPh sb="3" eb="5">
      <t>ユウキ</t>
    </rPh>
    <phoneticPr fontId="3"/>
  </si>
  <si>
    <t>坂田　力仁</t>
    <rPh sb="0" eb="2">
      <t>サカタ</t>
    </rPh>
    <rPh sb="3" eb="4">
      <t>チカラ</t>
    </rPh>
    <rPh sb="4" eb="5">
      <t>ジン</t>
    </rPh>
    <phoneticPr fontId="3"/>
  </si>
  <si>
    <t>ササキ　ショウタ</t>
    <phoneticPr fontId="3"/>
  </si>
  <si>
    <t>テラオ　</t>
    <phoneticPr fontId="3"/>
  </si>
  <si>
    <t>サカタ　</t>
    <phoneticPr fontId="3"/>
  </si>
  <si>
    <t>13（女子）</t>
    <rPh sb="3" eb="5">
      <t>ジョシ</t>
    </rPh>
    <phoneticPr fontId="3"/>
  </si>
  <si>
    <t>ｋｍ管理職
ＯＢ会</t>
    <rPh sb="2" eb="5">
      <t>カンリショク</t>
    </rPh>
    <rPh sb="8" eb="9">
      <t>カイ</t>
    </rPh>
    <phoneticPr fontId="3"/>
  </si>
  <si>
    <r>
      <rPr>
        <b/>
        <sz val="16"/>
        <rFont val="Meiryo UI"/>
        <family val="3"/>
        <charset val="128"/>
      </rPr>
      <t>配属</t>
    </r>
    <r>
      <rPr>
        <sz val="9"/>
        <rFont val="Meiryo UI"/>
        <family val="3"/>
        <charset val="128"/>
      </rPr>
      <t>　当直</t>
    </r>
    <rPh sb="0" eb="2">
      <t>ハイゾク</t>
    </rPh>
    <rPh sb="3" eb="5">
      <t>トウチョク</t>
    </rPh>
    <phoneticPr fontId="3"/>
  </si>
  <si>
    <t>乃村　誠二</t>
    <rPh sb="0" eb="2">
      <t>ノムラ</t>
    </rPh>
    <rPh sb="3" eb="5">
      <t>セイジ</t>
    </rPh>
    <phoneticPr fontId="6"/>
  </si>
  <si>
    <t>金子　篤</t>
    <rPh sb="0" eb="2">
      <t>カネコ</t>
    </rPh>
    <rPh sb="3" eb="4">
      <t>アツシ</t>
    </rPh>
    <phoneticPr fontId="3"/>
  </si>
  <si>
    <t>2026年度入社　新人乗務社員研修（2026年　5月度）</t>
    <rPh sb="4" eb="5">
      <t>ネン</t>
    </rPh>
    <rPh sb="5" eb="6">
      <t>ド</t>
    </rPh>
    <rPh sb="6" eb="8">
      <t>ニュウシャ</t>
    </rPh>
    <rPh sb="9" eb="11">
      <t>シンジン</t>
    </rPh>
    <rPh sb="11" eb="13">
      <t>ジョウム</t>
    </rPh>
    <rPh sb="13" eb="15">
      <t>シャイン</t>
    </rPh>
    <rPh sb="15" eb="17">
      <t>ケンシュウ</t>
    </rPh>
    <rPh sb="22" eb="23">
      <t>ネン</t>
    </rPh>
    <rPh sb="25" eb="26">
      <t>ツキ</t>
    </rPh>
    <rPh sb="26" eb="27">
      <t>ド</t>
    </rPh>
    <phoneticPr fontId="4"/>
  </si>
  <si>
    <t>相続会議帰省　と　通院</t>
    <rPh sb="0" eb="2">
      <t>ソウゾク</t>
    </rPh>
    <rPh sb="2" eb="4">
      <t>カイギ</t>
    </rPh>
    <rPh sb="4" eb="6">
      <t>キセイ</t>
    </rPh>
    <rPh sb="9" eb="11">
      <t>ツウイン</t>
    </rPh>
    <phoneticPr fontId="3"/>
  </si>
  <si>
    <t>テラオ　ユウキ</t>
    <phoneticPr fontId="3"/>
  </si>
  <si>
    <t>定例</t>
    <rPh sb="0" eb="2">
      <t>テイレイ</t>
    </rPh>
    <phoneticPr fontId="3"/>
  </si>
  <si>
    <t>5月</t>
    <rPh sb="1" eb="2">
      <t>ガツ</t>
    </rPh>
    <phoneticPr fontId="3"/>
  </si>
  <si>
    <t>休</t>
    <rPh sb="0" eb="1">
      <t>ヤス</t>
    </rPh>
    <phoneticPr fontId="3"/>
  </si>
  <si>
    <t>若木</t>
    <rPh sb="0" eb="2">
      <t>ワカギ</t>
    </rPh>
    <phoneticPr fontId="3"/>
  </si>
  <si>
    <t>医C</t>
    <rPh sb="0" eb="1">
      <t>イ</t>
    </rPh>
    <phoneticPr fontId="3"/>
  </si>
  <si>
    <t>飯島　一</t>
    <rPh sb="0" eb="2">
      <t>イイジマ</t>
    </rPh>
    <rPh sb="3" eb="4">
      <t>ハジメ</t>
    </rPh>
    <phoneticPr fontId="6"/>
  </si>
  <si>
    <t>イイジマ　ハジメ</t>
    <phoneticPr fontId="3"/>
  </si>
  <si>
    <t>谷越　周二</t>
    <rPh sb="0" eb="2">
      <t>タニコシ</t>
    </rPh>
    <rPh sb="3" eb="5">
      <t>シュウジ</t>
    </rPh>
    <phoneticPr fontId="6"/>
  </si>
  <si>
    <t>タニコシ　シュウジ</t>
    <phoneticPr fontId="3"/>
  </si>
  <si>
    <t>齋藤　弘幸</t>
    <rPh sb="0" eb="2">
      <t>サイトウ</t>
    </rPh>
    <rPh sb="3" eb="5">
      <t>ヒロユキ</t>
    </rPh>
    <phoneticPr fontId="3"/>
  </si>
  <si>
    <t>サイトウ　ヒロユキ</t>
    <phoneticPr fontId="3"/>
  </si>
  <si>
    <t>カネコ　アツシ</t>
    <phoneticPr fontId="3"/>
  </si>
  <si>
    <t>ノムラ　セイジ</t>
    <phoneticPr fontId="3"/>
  </si>
  <si>
    <t>サカタ　リキト</t>
    <phoneticPr fontId="3"/>
  </si>
  <si>
    <t>六本木</t>
    <rPh sb="0" eb="3">
      <t>ロッポンギ</t>
    </rPh>
    <phoneticPr fontId="3"/>
  </si>
  <si>
    <t>特保</t>
    <rPh sb="0" eb="2">
      <t>トクホ</t>
    </rPh>
    <phoneticPr fontId="3"/>
  </si>
  <si>
    <t>緑川　琢人</t>
    <rPh sb="0" eb="2">
      <t>ミドリカワ</t>
    </rPh>
    <rPh sb="3" eb="5">
      <t>タクト</t>
    </rPh>
    <phoneticPr fontId="6"/>
  </si>
  <si>
    <t>高橋　龍輝</t>
    <rPh sb="0" eb="2">
      <t>タカハシ</t>
    </rPh>
    <rPh sb="3" eb="4">
      <t>リュウ</t>
    </rPh>
    <rPh sb="4" eb="5">
      <t>ヒカル</t>
    </rPh>
    <phoneticPr fontId="6"/>
  </si>
  <si>
    <t>タカハシ　リュウキ</t>
    <phoneticPr fontId="3"/>
  </si>
  <si>
    <t>ミドリカワ　タクト</t>
    <phoneticPr fontId="3"/>
  </si>
  <si>
    <t>１課　久富班長の急な退職により、落合班長が内勤に来月度から戻り、今後の予定が大幅に変更となる（未決定）</t>
    <rPh sb="1" eb="2">
      <t>カ</t>
    </rPh>
    <rPh sb="3" eb="5">
      <t>ヒサトミ</t>
    </rPh>
    <rPh sb="5" eb="7">
      <t>ハンチョウ</t>
    </rPh>
    <rPh sb="8" eb="9">
      <t>キュウ</t>
    </rPh>
    <rPh sb="10" eb="12">
      <t>タイショク</t>
    </rPh>
    <rPh sb="16" eb="18">
      <t>オチアイ</t>
    </rPh>
    <rPh sb="18" eb="20">
      <t>ハンチョウ</t>
    </rPh>
    <rPh sb="21" eb="23">
      <t>ナイキン</t>
    </rPh>
    <rPh sb="24" eb="27">
      <t>ライゲツド</t>
    </rPh>
    <rPh sb="29" eb="30">
      <t>モド</t>
    </rPh>
    <rPh sb="32" eb="34">
      <t>コンゴ</t>
    </rPh>
    <rPh sb="35" eb="37">
      <t>ヨテイ</t>
    </rPh>
    <rPh sb="38" eb="40">
      <t>オオハバ</t>
    </rPh>
    <rPh sb="41" eb="43">
      <t>ヘンコウ</t>
    </rPh>
    <rPh sb="47" eb="50">
      <t>ミケッテイ</t>
    </rPh>
    <phoneticPr fontId="3"/>
  </si>
  <si>
    <t>2026年度入社　新人乗務社員研修（2026年　6月度）</t>
    <rPh sb="4" eb="5">
      <t>ネン</t>
    </rPh>
    <rPh sb="5" eb="6">
      <t>ド</t>
    </rPh>
    <rPh sb="6" eb="8">
      <t>ニュウシャ</t>
    </rPh>
    <rPh sb="9" eb="11">
      <t>シンジン</t>
    </rPh>
    <rPh sb="11" eb="13">
      <t>ジョウム</t>
    </rPh>
    <rPh sb="13" eb="15">
      <t>シャイン</t>
    </rPh>
    <rPh sb="15" eb="17">
      <t>ケンシュウ</t>
    </rPh>
    <rPh sb="22" eb="23">
      <t>ネン</t>
    </rPh>
    <rPh sb="25" eb="26">
      <t>ツキ</t>
    </rPh>
    <rPh sb="26" eb="27">
      <t>ド</t>
    </rPh>
    <phoneticPr fontId="4"/>
  </si>
  <si>
    <t>車塚　健太</t>
    <rPh sb="0" eb="1">
      <t>クルマ</t>
    </rPh>
    <rPh sb="1" eb="2">
      <t>ツカ</t>
    </rPh>
    <rPh sb="3" eb="5">
      <t>ケンタ</t>
    </rPh>
    <phoneticPr fontId="3"/>
  </si>
  <si>
    <t>中田　匠</t>
    <rPh sb="0" eb="2">
      <t>ナカタ</t>
    </rPh>
    <rPh sb="3" eb="4">
      <t>タクミ</t>
    </rPh>
    <phoneticPr fontId="3"/>
  </si>
  <si>
    <t>上垣　晃</t>
    <rPh sb="0" eb="2">
      <t>ウエガキ</t>
    </rPh>
    <rPh sb="3" eb="4">
      <t>アキラ</t>
    </rPh>
    <phoneticPr fontId="6"/>
  </si>
  <si>
    <t>３課</t>
    <rPh sb="0" eb="2">
      <t>サンカ</t>
    </rPh>
    <phoneticPr fontId="3"/>
  </si>
  <si>
    <t>　　　 　三愛会 人間Dock</t>
    <rPh sb="5" eb="6">
      <t>サン</t>
    </rPh>
    <rPh sb="6" eb="7">
      <t>アイ</t>
    </rPh>
    <rPh sb="7" eb="8">
      <t>カイ</t>
    </rPh>
    <rPh sb="9" eb="11">
      <t>ニンゲン</t>
    </rPh>
    <phoneticPr fontId="3"/>
  </si>
  <si>
    <t>三愛会人間Dock</t>
    <rPh sb="0" eb="1">
      <t>サン</t>
    </rPh>
    <rPh sb="1" eb="2">
      <t>アイ</t>
    </rPh>
    <rPh sb="2" eb="3">
      <t>カイ</t>
    </rPh>
    <rPh sb="3" eb="5">
      <t>ニンゲン</t>
    </rPh>
    <phoneticPr fontId="3"/>
  </si>
  <si>
    <t>6月</t>
    <rPh sb="1" eb="2">
      <t>ガツ</t>
    </rPh>
    <phoneticPr fontId="3"/>
  </si>
  <si>
    <t>新卒</t>
    <rPh sb="0" eb="2">
      <t>シンソツ</t>
    </rPh>
    <phoneticPr fontId="3"/>
  </si>
  <si>
    <t xml:space="preserve">松本班長
→本田課長
を経由し、
カレッジへ新卒配属予定日について（男女ごとの人数）詳細確認
26年度新卒の
固定給に関し
勤務日数？
金額？
何月度まで？
その他条件？
等を確認
</t>
    <rPh sb="0" eb="2">
      <t>マツモト</t>
    </rPh>
    <rPh sb="2" eb="4">
      <t>ハンチョウ</t>
    </rPh>
    <rPh sb="6" eb="8">
      <t>ホンダ</t>
    </rPh>
    <rPh sb="8" eb="10">
      <t>カチョウ</t>
    </rPh>
    <rPh sb="12" eb="14">
      <t>ケイユ</t>
    </rPh>
    <rPh sb="22" eb="24">
      <t>シンソツ</t>
    </rPh>
    <rPh sb="24" eb="26">
      <t>ハイゾク</t>
    </rPh>
    <rPh sb="26" eb="28">
      <t>ヨテイ</t>
    </rPh>
    <rPh sb="28" eb="29">
      <t>ヒ</t>
    </rPh>
    <rPh sb="34" eb="36">
      <t>ダンジョ</t>
    </rPh>
    <rPh sb="39" eb="41">
      <t>ニンズウ</t>
    </rPh>
    <rPh sb="42" eb="44">
      <t>ショウサイ</t>
    </rPh>
    <rPh sb="44" eb="46">
      <t>カクニン</t>
    </rPh>
    <rPh sb="50" eb="51">
      <t>ネン</t>
    </rPh>
    <rPh sb="51" eb="52">
      <t>ド</t>
    </rPh>
    <rPh sb="52" eb="54">
      <t>シンソツ</t>
    </rPh>
    <rPh sb="56" eb="59">
      <t>コテイキュウ</t>
    </rPh>
    <rPh sb="60" eb="61">
      <t>カン</t>
    </rPh>
    <rPh sb="63" eb="65">
      <t>キンム</t>
    </rPh>
    <rPh sb="65" eb="67">
      <t>ニッスウ</t>
    </rPh>
    <rPh sb="69" eb="71">
      <t>キンガク</t>
    </rPh>
    <rPh sb="73" eb="75">
      <t>ナンガツ</t>
    </rPh>
    <rPh sb="75" eb="76">
      <t>ド</t>
    </rPh>
    <rPh sb="82" eb="83">
      <t>タ</t>
    </rPh>
    <rPh sb="83" eb="85">
      <t>ジョウケン</t>
    </rPh>
    <rPh sb="87" eb="88">
      <t>トウ</t>
    </rPh>
    <rPh sb="89" eb="91">
      <t>カクニン</t>
    </rPh>
    <phoneticPr fontId="3"/>
  </si>
  <si>
    <t>川原</t>
    <rPh sb="0" eb="2">
      <t>カワハラ</t>
    </rPh>
    <phoneticPr fontId="3"/>
  </si>
  <si>
    <t>石渡</t>
    <rPh sb="0" eb="2">
      <t>イシワタ</t>
    </rPh>
    <phoneticPr fontId="3"/>
  </si>
  <si>
    <t xml:space="preserve">退職 </t>
    <rPh sb="0" eb="2">
      <t>タイショク</t>
    </rPh>
    <phoneticPr fontId="3"/>
  </si>
  <si>
    <t>西畑</t>
    <rPh sb="0" eb="1">
      <t>ニシ</t>
    </rPh>
    <rPh sb="1" eb="2">
      <t>ハタケ</t>
    </rPh>
    <phoneticPr fontId="3"/>
  </si>
  <si>
    <t>実家へ帰省</t>
    <rPh sb="0" eb="2">
      <t>ジッカ</t>
    </rPh>
    <rPh sb="3" eb="5">
      <t>キセイ</t>
    </rPh>
    <phoneticPr fontId="3"/>
  </si>
  <si>
    <t>〇〇班長（事故教育）</t>
    <rPh sb="2" eb="4">
      <t>ハンチョウ</t>
    </rPh>
    <rPh sb="5" eb="7">
      <t>ジコ</t>
    </rPh>
    <rPh sb="7" eb="9">
      <t>キョウイク</t>
    </rPh>
    <phoneticPr fontId="3"/>
  </si>
  <si>
    <t>指導者　必要人数</t>
    <rPh sb="0" eb="3">
      <t>シドウシャ</t>
    </rPh>
    <rPh sb="4" eb="6">
      <t>ヒツヨウ</t>
    </rPh>
    <rPh sb="6" eb="8">
      <t>ニンズウ</t>
    </rPh>
    <phoneticPr fontId="3"/>
  </si>
  <si>
    <t>6/3
配属予定</t>
    <rPh sb="4" eb="6">
      <t>ハイゾク</t>
    </rPh>
    <rPh sb="6" eb="8">
      <t>ヨテイ</t>
    </rPh>
    <phoneticPr fontId="3"/>
  </si>
  <si>
    <t>5/22
配属予定</t>
    <rPh sb="5" eb="7">
      <t>ハイゾク</t>
    </rPh>
    <rPh sb="7" eb="9">
      <t>ヨテイ</t>
    </rPh>
    <phoneticPr fontId="3"/>
  </si>
  <si>
    <t>2026年度入社　新人乗務社員研修（2026年　7月度）</t>
    <rPh sb="4" eb="5">
      <t>ネン</t>
    </rPh>
    <rPh sb="5" eb="6">
      <t>ド</t>
    </rPh>
    <rPh sb="6" eb="8">
      <t>ニュウシャ</t>
    </rPh>
    <rPh sb="9" eb="11">
      <t>シンジン</t>
    </rPh>
    <rPh sb="11" eb="13">
      <t>ジョウム</t>
    </rPh>
    <rPh sb="13" eb="15">
      <t>シャイン</t>
    </rPh>
    <rPh sb="15" eb="17">
      <t>ケンシュウ</t>
    </rPh>
    <rPh sb="22" eb="23">
      <t>ネン</t>
    </rPh>
    <rPh sb="25" eb="26">
      <t>ツキ</t>
    </rPh>
    <rPh sb="26" eb="27">
      <t>ド</t>
    </rPh>
    <phoneticPr fontId="4"/>
  </si>
  <si>
    <t>月</t>
    <rPh sb="0" eb="1">
      <t>ツキ</t>
    </rPh>
    <phoneticPr fontId="3"/>
  </si>
  <si>
    <t>松本大海班長
（新人教育）</t>
    <rPh sb="0" eb="2">
      <t>マツモト</t>
    </rPh>
    <rPh sb="2" eb="4">
      <t>ヒロウミ</t>
    </rPh>
    <rPh sb="4" eb="6">
      <t>ハンチョウ</t>
    </rPh>
    <rPh sb="8" eb="10">
      <t>シンジン</t>
    </rPh>
    <rPh sb="10" eb="12">
      <t>キョウイク</t>
    </rPh>
    <phoneticPr fontId="3"/>
  </si>
  <si>
    <t>小田班長　→　星班長</t>
    <rPh sb="0" eb="2">
      <t>オダ</t>
    </rPh>
    <rPh sb="2" eb="4">
      <t>ハンチョウ</t>
    </rPh>
    <rPh sb="7" eb="8">
      <t>ホシ</t>
    </rPh>
    <rPh sb="8" eb="10">
      <t>ハンチョウ</t>
    </rPh>
    <phoneticPr fontId="3"/>
  </si>
  <si>
    <t>11名</t>
    <rPh sb="2" eb="3">
      <t>メイ</t>
    </rPh>
    <phoneticPr fontId="3"/>
  </si>
  <si>
    <t>ウエガキ　アキラ</t>
    <phoneticPr fontId="3"/>
  </si>
  <si>
    <t>クルマツカ　ケンタ</t>
    <phoneticPr fontId="3"/>
  </si>
  <si>
    <t>ナカダ　タクミ</t>
    <phoneticPr fontId="3"/>
  </si>
  <si>
    <t>川原　拓也</t>
    <rPh sb="0" eb="2">
      <t>カワハラ</t>
    </rPh>
    <rPh sb="3" eb="5">
      <t>タクヤ</t>
    </rPh>
    <phoneticPr fontId="3"/>
  </si>
  <si>
    <t>カワハラ　タクヤ</t>
    <phoneticPr fontId="3"/>
  </si>
  <si>
    <t>西畑　航太朗</t>
    <rPh sb="0" eb="1">
      <t>ニシ</t>
    </rPh>
    <rPh sb="1" eb="2">
      <t>ハタケ</t>
    </rPh>
    <rPh sb="3" eb="6">
      <t>コウタロウ</t>
    </rPh>
    <rPh sb="4" eb="6">
      <t>タロウ</t>
    </rPh>
    <phoneticPr fontId="3"/>
  </si>
  <si>
    <t>ニシハタ　コウタロウ</t>
    <phoneticPr fontId="3"/>
  </si>
  <si>
    <t>イシワタ　ヒヨク</t>
    <phoneticPr fontId="3"/>
  </si>
  <si>
    <t>石渡　飛翼</t>
    <rPh sb="0" eb="2">
      <t>イシワタ</t>
    </rPh>
    <rPh sb="3" eb="4">
      <t>ト</t>
    </rPh>
    <rPh sb="4" eb="5">
      <t>ヨク</t>
    </rPh>
    <phoneticPr fontId="3"/>
  </si>
  <si>
    <t>安部　秋次</t>
    <rPh sb="0" eb="2">
      <t>アベ</t>
    </rPh>
    <rPh sb="3" eb="5">
      <t>シュウジ</t>
    </rPh>
    <phoneticPr fontId="3"/>
  </si>
  <si>
    <t>アベ　シュウジ</t>
    <phoneticPr fontId="3"/>
  </si>
  <si>
    <t>禧久　明子</t>
    <rPh sb="0" eb="1">
      <t>キ</t>
    </rPh>
    <rPh sb="1" eb="2">
      <t>ヒサシ</t>
    </rPh>
    <rPh sb="3" eb="5">
      <t>アキコ</t>
    </rPh>
    <phoneticPr fontId="3"/>
  </si>
  <si>
    <t>キク　アキコ</t>
    <phoneticPr fontId="3"/>
  </si>
  <si>
    <t>塚澤　太一</t>
    <rPh sb="0" eb="1">
      <t>ツカ</t>
    </rPh>
    <rPh sb="1" eb="2">
      <t>サワ</t>
    </rPh>
    <rPh sb="3" eb="5">
      <t>タイチ</t>
    </rPh>
    <phoneticPr fontId="3"/>
  </si>
  <si>
    <t>ツカザワ　タイチ</t>
    <phoneticPr fontId="3"/>
  </si>
  <si>
    <t>イイザワ　ユウト</t>
    <phoneticPr fontId="3"/>
  </si>
  <si>
    <t>飯澤　優斗</t>
    <rPh sb="0" eb="2">
      <t>イイザワ</t>
    </rPh>
    <rPh sb="3" eb="5">
      <t>ユウト</t>
    </rPh>
    <phoneticPr fontId="3"/>
  </si>
  <si>
    <t>中村　厚志</t>
    <rPh sb="0" eb="2">
      <t>ナカムラ</t>
    </rPh>
    <rPh sb="3" eb="5">
      <t>アツシ</t>
    </rPh>
    <phoneticPr fontId="6"/>
  </si>
  <si>
    <t>ナカムラ　アツシ</t>
    <phoneticPr fontId="3"/>
  </si>
  <si>
    <t>ガン健診</t>
    <rPh sb="2" eb="4">
      <t>ケンシン</t>
    </rPh>
    <phoneticPr fontId="3"/>
  </si>
  <si>
    <t>眼底検査</t>
    <rPh sb="0" eb="4">
      <t>ガンテイケンサ</t>
    </rPh>
    <phoneticPr fontId="3"/>
  </si>
  <si>
    <t>血液検査</t>
    <rPh sb="0" eb="2">
      <t>ケツエキ</t>
    </rPh>
    <rPh sb="2" eb="4">
      <t>ケンサ</t>
    </rPh>
    <phoneticPr fontId="3"/>
  </si>
  <si>
    <t>縁故</t>
    <rPh sb="0" eb="2">
      <t>エンコ</t>
    </rPh>
    <phoneticPr fontId="3"/>
  </si>
  <si>
    <t>加藤</t>
    <rPh sb="0" eb="2">
      <t>カトウ</t>
    </rPh>
    <phoneticPr fontId="3"/>
  </si>
  <si>
    <t>🖋</t>
    <phoneticPr fontId="3"/>
  </si>
  <si>
    <t>８名</t>
    <rPh sb="1" eb="2">
      <t>メイ</t>
    </rPh>
    <phoneticPr fontId="3"/>
  </si>
  <si>
    <r>
      <rPr>
        <b/>
        <sz val="12"/>
        <rFont val="Meiryo UI"/>
        <family val="3"/>
        <charset val="128"/>
      </rPr>
      <t>書類</t>
    </r>
    <r>
      <rPr>
        <sz val="9"/>
        <rFont val="Meiryo UI"/>
        <family val="3"/>
        <charset val="128"/>
      </rPr>
      <t>　当直</t>
    </r>
    <rPh sb="0" eb="2">
      <t>ショルイ</t>
    </rPh>
    <rPh sb="3" eb="5">
      <t>トウチョクハイトウ</t>
    </rPh>
    <phoneticPr fontId="3"/>
  </si>
  <si>
    <r>
      <rPr>
        <b/>
        <sz val="12"/>
        <rFont val="Meiryo UI"/>
        <family val="3"/>
        <charset val="128"/>
      </rPr>
      <t>松本大海</t>
    </r>
    <r>
      <rPr>
        <sz val="11"/>
        <rFont val="Meiryo UI"/>
        <family val="3"/>
        <charset val="128"/>
      </rPr>
      <t>班長</t>
    </r>
    <rPh sb="0" eb="2">
      <t>マツモト</t>
    </rPh>
    <rPh sb="2" eb="4">
      <t>ヒロウミ</t>
    </rPh>
    <rPh sb="4" eb="6">
      <t>ハンチョウ</t>
    </rPh>
    <phoneticPr fontId="3"/>
  </si>
  <si>
    <t>7月</t>
    <rPh sb="1" eb="2">
      <t>ガツ</t>
    </rPh>
    <phoneticPr fontId="3"/>
  </si>
  <si>
    <t>来週
午後
の
所長
面談
午後
に
打診</t>
    <rPh sb="0" eb="2">
      <t>ライシュウ</t>
    </rPh>
    <rPh sb="3" eb="5">
      <t>ゴゴ</t>
    </rPh>
    <rPh sb="8" eb="10">
      <t>ショチョウ</t>
    </rPh>
    <rPh sb="11" eb="13">
      <t>メンダン</t>
    </rPh>
    <rPh sb="15" eb="17">
      <t>ゴゴ</t>
    </rPh>
    <rPh sb="20" eb="22">
      <t>ダシン</t>
    </rPh>
    <phoneticPr fontId="3"/>
  </si>
  <si>
    <t>原社長 多忙</t>
    <rPh sb="0" eb="1">
      <t>ハラ</t>
    </rPh>
    <rPh sb="1" eb="3">
      <t>シャチョウ</t>
    </rPh>
    <rPh sb="4" eb="6">
      <t>タボウ</t>
    </rPh>
    <phoneticPr fontId="3"/>
  </si>
  <si>
    <t>原所長 多忙</t>
    <rPh sb="0" eb="1">
      <t>ハラ</t>
    </rPh>
    <rPh sb="1" eb="3">
      <t>ショチョウ</t>
    </rPh>
    <rPh sb="4" eb="6">
      <t>タボウ</t>
    </rPh>
    <phoneticPr fontId="3"/>
  </si>
  <si>
    <t>児玉</t>
    <rPh sb="0" eb="2">
      <t>コダマ</t>
    </rPh>
    <phoneticPr fontId="3"/>
  </si>
  <si>
    <t>松井　亮斗</t>
    <rPh sb="0" eb="2">
      <t>マツイ</t>
    </rPh>
    <rPh sb="3" eb="4">
      <t>リョウ</t>
    </rPh>
    <rPh sb="4" eb="5">
      <t>ト</t>
    </rPh>
    <phoneticPr fontId="3"/>
  </si>
  <si>
    <t>マツイ　リョウト</t>
    <phoneticPr fontId="3"/>
  </si>
  <si>
    <t>小沢　哲平</t>
    <rPh sb="0" eb="2">
      <t>オザワ</t>
    </rPh>
    <rPh sb="3" eb="5">
      <t>テッペイ</t>
    </rPh>
    <phoneticPr fontId="3"/>
  </si>
  <si>
    <t>オザワ　テッペイ</t>
    <phoneticPr fontId="3"/>
  </si>
  <si>
    <t>都丸　日和</t>
    <rPh sb="0" eb="2">
      <t>トマル</t>
    </rPh>
    <rPh sb="3" eb="5">
      <t>ヒヨリ</t>
    </rPh>
    <phoneticPr fontId="3"/>
  </si>
  <si>
    <t>坂本　渚</t>
    <rPh sb="0" eb="2">
      <t>サカモト</t>
    </rPh>
    <rPh sb="3" eb="4">
      <t>ナギサ</t>
    </rPh>
    <phoneticPr fontId="3"/>
  </si>
  <si>
    <t>サカモト　ナギサ</t>
    <phoneticPr fontId="3"/>
  </si>
  <si>
    <t>トマル　ヒヨリ</t>
    <phoneticPr fontId="3"/>
  </si>
  <si>
    <t>吉崎　竜平</t>
    <rPh sb="0" eb="2">
      <t>ヨシザキ</t>
    </rPh>
    <rPh sb="3" eb="5">
      <t>リュウヘイ</t>
    </rPh>
    <phoneticPr fontId="3"/>
  </si>
  <si>
    <t>ヨシザキ　リュウヘイ</t>
    <phoneticPr fontId="3"/>
  </si>
  <si>
    <t>梅津　貴史</t>
    <rPh sb="0" eb="2">
      <t>ウメツ</t>
    </rPh>
    <rPh sb="3" eb="5">
      <t>タカシ</t>
    </rPh>
    <phoneticPr fontId="3"/>
  </si>
  <si>
    <t>ウメツ　タカフミ</t>
    <phoneticPr fontId="3"/>
  </si>
  <si>
    <t>尾崎　大翔</t>
    <rPh sb="0" eb="2">
      <t>オザキ</t>
    </rPh>
    <rPh sb="3" eb="4">
      <t>ダイ</t>
    </rPh>
    <rPh sb="4" eb="5">
      <t>ショウ</t>
    </rPh>
    <phoneticPr fontId="3"/>
  </si>
  <si>
    <t>オザキ　ヒロト</t>
    <phoneticPr fontId="3"/>
  </si>
  <si>
    <t>錦戸　雄飛</t>
    <rPh sb="0" eb="2">
      <t>ニシキド</t>
    </rPh>
    <rPh sb="3" eb="5">
      <t>ユウヒ</t>
    </rPh>
    <phoneticPr fontId="3"/>
  </si>
  <si>
    <t>ニシキド　ユウヒ</t>
    <phoneticPr fontId="3"/>
  </si>
  <si>
    <t>並木　玲裕</t>
    <rPh sb="0" eb="2">
      <t>ナミキ</t>
    </rPh>
    <rPh sb="3" eb="4">
      <t>レイ</t>
    </rPh>
    <rPh sb="4" eb="5">
      <t>ユウ</t>
    </rPh>
    <phoneticPr fontId="3"/>
  </si>
  <si>
    <t>ナミキ　アキヒロ</t>
    <phoneticPr fontId="3"/>
  </si>
  <si>
    <t>イシイ　カズヤ</t>
    <phoneticPr fontId="3"/>
  </si>
  <si>
    <t>健康診断 定例会</t>
    <rPh sb="0" eb="2">
      <t>ケンコウ</t>
    </rPh>
    <rPh sb="2" eb="4">
      <t>シンダン</t>
    </rPh>
    <rPh sb="5" eb="8">
      <t>テイレイカイ</t>
    </rPh>
    <phoneticPr fontId="3"/>
  </si>
  <si>
    <t>本田</t>
    <rPh sb="0" eb="2">
      <t>ホンダ</t>
    </rPh>
    <phoneticPr fontId="3"/>
  </si>
  <si>
    <t>東谷</t>
    <rPh sb="0" eb="1">
      <t>ヒガシ</t>
    </rPh>
    <rPh sb="1" eb="2">
      <t>タニ</t>
    </rPh>
    <phoneticPr fontId="3"/>
  </si>
  <si>
    <t>鶴岡</t>
    <rPh sb="0" eb="2">
      <t>ツルオカ</t>
    </rPh>
    <phoneticPr fontId="3"/>
  </si>
  <si>
    <t>勉強会</t>
    <rPh sb="0" eb="3">
      <t>ベンキョウカイ</t>
    </rPh>
    <phoneticPr fontId="3"/>
  </si>
  <si>
    <t>武井</t>
    <rPh sb="0" eb="2">
      <t>タケイ</t>
    </rPh>
    <phoneticPr fontId="3"/>
  </si>
  <si>
    <t>?</t>
    <phoneticPr fontId="3"/>
  </si>
  <si>
    <t>大海</t>
    <rPh sb="0" eb="2">
      <t>オオウミ</t>
    </rPh>
    <phoneticPr fontId="3"/>
  </si>
  <si>
    <t>面談</t>
    <rPh sb="0" eb="2">
      <t>メンダン</t>
    </rPh>
    <phoneticPr fontId="3"/>
  </si>
  <si>
    <t>星</t>
    <rPh sb="0" eb="1">
      <t>ホシ</t>
    </rPh>
    <phoneticPr fontId="3"/>
  </si>
  <si>
    <t>一貴</t>
    <rPh sb="0" eb="2">
      <t>カズタカ</t>
    </rPh>
    <phoneticPr fontId="3"/>
  </si>
  <si>
    <t>中野</t>
    <rPh sb="0" eb="2">
      <t>ナカノ</t>
    </rPh>
    <phoneticPr fontId="3"/>
  </si>
  <si>
    <t>石井　一也</t>
    <rPh sb="0" eb="2">
      <t>イシイ</t>
    </rPh>
    <rPh sb="3" eb="5">
      <t>カズヤ</t>
    </rPh>
    <phoneticPr fontId="3"/>
  </si>
  <si>
    <t>当直　　明け</t>
    <rPh sb="0" eb="2">
      <t>トウチョクハイトウ</t>
    </rPh>
    <rPh sb="4" eb="5">
      <t>ア</t>
    </rPh>
    <phoneticPr fontId="3"/>
  </si>
  <si>
    <t>鶴田　拓未</t>
    <rPh sb="0" eb="2">
      <t>ツルタ</t>
    </rPh>
    <rPh sb="3" eb="5">
      <t>タクミ</t>
    </rPh>
    <phoneticPr fontId="3"/>
  </si>
  <si>
    <t>寺師　佳生</t>
    <rPh sb="0" eb="2">
      <t>テラシ</t>
    </rPh>
    <rPh sb="3" eb="5">
      <t>ヨシオ</t>
    </rPh>
    <phoneticPr fontId="3"/>
  </si>
  <si>
    <t>テラシ　カイ</t>
    <phoneticPr fontId="3"/>
  </si>
  <si>
    <t>黛　澄和</t>
    <rPh sb="0" eb="1">
      <t>マユズミ</t>
    </rPh>
    <rPh sb="2" eb="4">
      <t>スミワ</t>
    </rPh>
    <phoneticPr fontId="3"/>
  </si>
  <si>
    <t>マユズミ　トワ</t>
    <phoneticPr fontId="3"/>
  </si>
  <si>
    <t>有島　光里</t>
    <rPh sb="0" eb="2">
      <t>アリシマ</t>
    </rPh>
    <rPh sb="3" eb="4">
      <t>ヒカリ</t>
    </rPh>
    <rPh sb="4" eb="5">
      <t>サト</t>
    </rPh>
    <phoneticPr fontId="3"/>
  </si>
  <si>
    <t>アリシマ　ヒカリ</t>
    <phoneticPr fontId="3"/>
  </si>
  <si>
    <t>𠮷内　万葉</t>
    <rPh sb="2" eb="3">
      <t>ナイ</t>
    </rPh>
    <rPh sb="4" eb="6">
      <t>カズハ</t>
    </rPh>
    <phoneticPr fontId="3"/>
  </si>
  <si>
    <t>ヨシウチ　カズハ</t>
    <phoneticPr fontId="3"/>
  </si>
  <si>
    <t>ヒガシタニ　タイガ</t>
    <phoneticPr fontId="3"/>
  </si>
  <si>
    <t>東谷　泰河</t>
    <rPh sb="0" eb="1">
      <t>ヒガシ</t>
    </rPh>
    <rPh sb="1" eb="2">
      <t>タニ</t>
    </rPh>
    <rPh sb="3" eb="5">
      <t>タイガ</t>
    </rPh>
    <phoneticPr fontId="3"/>
  </si>
  <si>
    <t>ツルタ　タクミ</t>
    <phoneticPr fontId="3"/>
  </si>
  <si>
    <t>ニシキド　ユウト</t>
    <phoneticPr fontId="3"/>
  </si>
  <si>
    <t>星班長（教育）</t>
    <rPh sb="0" eb="1">
      <t>ホシ</t>
    </rPh>
    <rPh sb="1" eb="3">
      <t>ハンチョウ</t>
    </rPh>
    <rPh sb="4" eb="6">
      <t>キョウイク</t>
    </rPh>
    <phoneticPr fontId="3"/>
  </si>
  <si>
    <t>仮の予定ダイヤ・初乗務は班長が添乗する</t>
    <rPh sb="0" eb="1">
      <t>カリ</t>
    </rPh>
    <rPh sb="2" eb="4">
      <t>ヨテイ</t>
    </rPh>
    <rPh sb="8" eb="9">
      <t>ハツ</t>
    </rPh>
    <rPh sb="9" eb="11">
      <t>ジョウム</t>
    </rPh>
    <rPh sb="12" eb="14">
      <t>ハンチョウ</t>
    </rPh>
    <rPh sb="15" eb="17">
      <t>テンジョウ</t>
    </rPh>
    <phoneticPr fontId="3"/>
  </si>
  <si>
    <t>増加日数計</t>
    <rPh sb="0" eb="2">
      <t>ゾウカ</t>
    </rPh>
    <rPh sb="2" eb="4">
      <t>ニッスウ</t>
    </rPh>
    <rPh sb="4" eb="5">
      <t>ケイ</t>
    </rPh>
    <phoneticPr fontId="3"/>
  </si>
  <si>
    <t>コーチの必要人数</t>
    <rPh sb="4" eb="8">
      <t>ヒツヨウニンズウ</t>
    </rPh>
    <phoneticPr fontId="3"/>
  </si>
  <si>
    <t>2025年</t>
    <rPh sb="4" eb="5">
      <t>ネン</t>
    </rPh>
    <phoneticPr fontId="3"/>
  </si>
  <si>
    <t>2026年</t>
    <rPh sb="4" eb="5">
      <t>ネン</t>
    </rPh>
    <phoneticPr fontId="3"/>
  </si>
  <si>
    <t>日</t>
    <rPh sb="0" eb="1">
      <t>ヒ</t>
    </rPh>
    <phoneticPr fontId="3"/>
  </si>
  <si>
    <t>ワンボックス利用を考える</t>
    <rPh sb="6" eb="8">
      <t>リヨウ</t>
    </rPh>
    <rPh sb="9" eb="10">
      <t>カンガ</t>
    </rPh>
    <phoneticPr fontId="3"/>
  </si>
  <si>
    <t>6名</t>
    <rPh sb="1" eb="2">
      <t>メイ</t>
    </rPh>
    <phoneticPr fontId="3"/>
  </si>
  <si>
    <t>16名</t>
    <rPh sb="2" eb="3">
      <t>メイ</t>
    </rPh>
    <phoneticPr fontId="3"/>
  </si>
  <si>
    <t>キャリア
（前年同人数</t>
    <rPh sb="6" eb="8">
      <t>ゼンネン</t>
    </rPh>
    <rPh sb="8" eb="9">
      <t>ドウ</t>
    </rPh>
    <rPh sb="9" eb="11">
      <t>ニンズウ</t>
    </rPh>
    <phoneticPr fontId="3"/>
  </si>
  <si>
    <t>およそ増</t>
    <rPh sb="3" eb="4">
      <t>ゾウ</t>
    </rPh>
    <phoneticPr fontId="3"/>
  </si>
  <si>
    <t>＋</t>
    <phoneticPr fontId="3"/>
  </si>
  <si>
    <t>教習日数の総数</t>
    <rPh sb="0" eb="1">
      <t>キョウシュウ</t>
    </rPh>
    <rPh sb="2" eb="4">
      <t>ニッスウ</t>
    </rPh>
    <rPh sb="5" eb="7">
      <t>ソウスウ</t>
    </rPh>
    <phoneticPr fontId="3"/>
  </si>
  <si>
    <t>コーチ不足人数</t>
    <rPh sb="3" eb="5">
      <t>フソク</t>
    </rPh>
    <rPh sb="5" eb="7">
      <t>ニンズウ</t>
    </rPh>
    <phoneticPr fontId="3"/>
  </si>
  <si>
    <t>松本班長（新人教育）</t>
    <rPh sb="0" eb="2">
      <t>マツモト</t>
    </rPh>
    <rPh sb="2" eb="4">
      <t>ハンチョウ</t>
    </rPh>
    <rPh sb="5" eb="7">
      <t>シンジン</t>
    </rPh>
    <rPh sb="7" eb="9">
      <t>キョウイク</t>
    </rPh>
    <phoneticPr fontId="3"/>
  </si>
  <si>
    <t>伊豆田</t>
    <rPh sb="0" eb="2">
      <t>イズ</t>
    </rPh>
    <rPh sb="2" eb="3">
      <t>タ</t>
    </rPh>
    <phoneticPr fontId="3"/>
  </si>
  <si>
    <t>病院</t>
    <rPh sb="0" eb="2">
      <t>ビョウイン</t>
    </rPh>
    <phoneticPr fontId="3"/>
  </si>
  <si>
    <t>自主</t>
    <rPh sb="0" eb="2">
      <t>ジシュ</t>
    </rPh>
    <phoneticPr fontId="3"/>
  </si>
  <si>
    <t>午前中</t>
    <rPh sb="0" eb="3">
      <t>ゴゼンチュウ</t>
    </rPh>
    <phoneticPr fontId="3"/>
  </si>
  <si>
    <t>自主教習（教育）</t>
    <rPh sb="0" eb="4">
      <t>ジシュキョウシュウ</t>
    </rPh>
    <rPh sb="5" eb="7">
      <t>キョウイク</t>
    </rPh>
    <phoneticPr fontId="3"/>
  </si>
  <si>
    <t>磯田</t>
    <rPh sb="0" eb="2">
      <t>イソダ</t>
    </rPh>
    <phoneticPr fontId="3"/>
  </si>
  <si>
    <t>大森</t>
    <rPh sb="0" eb="2">
      <t>オオモリ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</si>
</sst>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9"/>
      <color indexed="81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1"/>
      <color theme="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9"/>
      <color indexed="10"/>
      <name val="HG丸ｺﾞｼｯｸM-PRO"/>
      <family val="3"/>
      <charset val="128"/>
    </font>
    <font>
      <sz val="10"/>
      <color rgb="FFFF0000"/>
      <name val="Meiryo UI"/>
      <family val="3"/>
      <charset val="128"/>
    </font>
    <font>
      <b/>
      <sz val="11"/>
      <name val="HG丸ｺﾞｼｯｸM-PRO"/>
      <family val="3"/>
      <charset val="128"/>
    </font>
    <font>
      <b/>
      <sz val="9"/>
      <name val="Meiryo UI"/>
      <family val="3"/>
      <charset val="128"/>
    </font>
    <font>
      <b/>
      <sz val="11"/>
      <color theme="0"/>
      <name val="HG丸ｺﾞｼｯｸM-PRO"/>
      <family val="3"/>
      <charset val="128"/>
    </font>
    <font>
      <b/>
      <sz val="11"/>
      <color theme="0"/>
      <name val="Meiryo UI"/>
      <family val="3"/>
      <charset val="128"/>
    </font>
    <font>
      <sz val="10"/>
      <color rgb="FF00B0F0"/>
      <name val="Meiryo UI"/>
      <family val="3"/>
      <charset val="128"/>
    </font>
    <font>
      <sz val="11"/>
      <color theme="0"/>
      <name val="Meiryo UI"/>
      <family val="3"/>
      <charset val="128"/>
    </font>
    <font>
      <sz val="16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b/>
      <sz val="11"/>
      <color rgb="FFFFFF00"/>
      <name val="HG丸ｺﾞｼｯｸM-PRO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6"/>
      <name val="Meiryo UI"/>
      <family val="3"/>
      <charset val="128"/>
    </font>
    <font>
      <b/>
      <sz val="14"/>
      <color indexed="81"/>
      <name val="MS P ゴシック"/>
      <family val="3"/>
      <charset val="128"/>
    </font>
    <font>
      <b/>
      <sz val="20"/>
      <color indexed="81"/>
      <name val="MS P ゴシック"/>
      <family val="3"/>
      <charset val="128"/>
    </font>
    <font>
      <b/>
      <sz val="10"/>
      <color rgb="FFFF0000"/>
      <name val="Meiryo UI"/>
      <family val="3"/>
      <charset val="128"/>
    </font>
    <font>
      <b/>
      <sz val="16"/>
      <name val="ＭＳ Ｐゴシック"/>
      <family val="3"/>
      <charset val="128"/>
    </font>
    <font>
      <sz val="12"/>
      <name val="Meiryo UI"/>
      <family val="3"/>
      <charset val="128"/>
    </font>
    <font>
      <sz val="12"/>
      <color theme="1"/>
      <name val="游ゴシック"/>
      <family val="2"/>
      <charset val="128"/>
      <scheme val="minor"/>
    </font>
    <font>
      <b/>
      <sz val="10"/>
      <color rgb="FF00B0F0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b/>
      <sz val="14"/>
      <color theme="1"/>
      <name val="游ゴシック"/>
      <family val="2"/>
      <charset val="128"/>
      <scheme val="minor"/>
    </font>
    <font>
      <b/>
      <sz val="10"/>
      <color rgb="FFF20ED5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2"/>
      <name val="Segoe UI Symbol"/>
      <family val="3"/>
    </font>
    <font>
      <sz val="12"/>
      <name val="Segoe UI Symbol"/>
      <family val="2"/>
    </font>
    <font>
      <b/>
      <sz val="16"/>
      <color rgb="FFFF0000"/>
      <name val="Meiryo UI"/>
      <family val="3"/>
      <charset val="128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6CAB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A90F0"/>
        <bgColor rgb="FFFF99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theme="5" tint="0.79998168889431442"/>
        <bgColor rgb="FFFFCCFF"/>
      </patternFill>
    </fill>
    <fill>
      <patternFill patternType="lightGray"/>
    </fill>
    <fill>
      <patternFill patternType="mediumGray"/>
    </fill>
    <fill>
      <patternFill patternType="mediumGray">
        <bgColor rgb="FFFFC000"/>
      </patternFill>
    </fill>
    <fill>
      <patternFill patternType="mediumGray">
        <fgColor rgb="FFFFCCFF"/>
        <bgColor theme="5" tint="0.79998168889431442"/>
      </patternFill>
    </fill>
    <fill>
      <patternFill patternType="solid">
        <fgColor indexed="6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21A0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lightGray">
        <bgColor rgb="FFFFC000"/>
      </patternFill>
    </fill>
    <fill>
      <patternFill patternType="lightGray">
        <fgColor rgb="FFFFCCFF"/>
        <bgColor theme="5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rgb="FFFFCCFF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rgb="FFFF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FF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6">
    <xf numFmtId="0" fontId="0" fillId="0" borderId="0" xfId="0">
      <alignment vertical="center"/>
    </xf>
    <xf numFmtId="0" fontId="5" fillId="0" borderId="0" xfId="1" applyFont="1" applyAlignment="1">
      <alignment vertical="center" shrinkToFit="1"/>
    </xf>
    <xf numFmtId="0" fontId="6" fillId="0" borderId="0" xfId="1" applyFont="1">
      <alignment vertical="center"/>
    </xf>
    <xf numFmtId="0" fontId="5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center" vertical="center" shrinkToFit="1"/>
    </xf>
    <xf numFmtId="0" fontId="16" fillId="0" borderId="0" xfId="1" applyFont="1" applyAlignment="1">
      <alignment vertical="center" shrinkToFit="1"/>
    </xf>
    <xf numFmtId="0" fontId="10" fillId="0" borderId="4" xfId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0" fontId="9" fillId="0" borderId="10" xfId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0" fontId="9" fillId="3" borderId="10" xfId="1" applyFont="1" applyFill="1" applyBorder="1" applyAlignment="1">
      <alignment horizontal="center" vertical="center" shrinkToFit="1"/>
    </xf>
    <xf numFmtId="0" fontId="16" fillId="12" borderId="10" xfId="1" applyFont="1" applyFill="1" applyBorder="1" applyAlignment="1">
      <alignment horizontal="center" vertical="center" shrinkToFit="1"/>
    </xf>
    <xf numFmtId="0" fontId="17" fillId="16" borderId="10" xfId="1" applyFont="1" applyFill="1" applyBorder="1" applyAlignment="1">
      <alignment horizontal="center" vertical="center" shrinkToFit="1"/>
    </xf>
    <xf numFmtId="0" fontId="17" fillId="8" borderId="10" xfId="1" applyFont="1" applyFill="1" applyBorder="1" applyAlignment="1">
      <alignment horizontal="center" vertical="center" shrinkToFit="1"/>
    </xf>
    <xf numFmtId="0" fontId="17" fillId="9" borderId="10" xfId="1" applyFont="1" applyFill="1" applyBorder="1" applyAlignment="1">
      <alignment horizontal="center" vertical="center" shrinkToFit="1"/>
    </xf>
    <xf numFmtId="0" fontId="5" fillId="0" borderId="10" xfId="1" applyFont="1" applyBorder="1" applyAlignment="1">
      <alignment vertical="center" shrinkToFit="1"/>
    </xf>
    <xf numFmtId="0" fontId="16" fillId="13" borderId="10" xfId="1" applyFont="1" applyFill="1" applyBorder="1" applyAlignment="1">
      <alignment horizontal="center" vertical="center" shrinkToFit="1"/>
    </xf>
    <xf numFmtId="0" fontId="17" fillId="17" borderId="10" xfId="1" applyFont="1" applyFill="1" applyBorder="1" applyAlignment="1">
      <alignment horizontal="center" vertical="center" shrinkToFit="1"/>
    </xf>
    <xf numFmtId="0" fontId="26" fillId="20" borderId="10" xfId="1" applyFont="1" applyFill="1" applyBorder="1" applyAlignment="1">
      <alignment horizontal="center" vertical="center" shrinkToFit="1"/>
    </xf>
    <xf numFmtId="0" fontId="18" fillId="2" borderId="10" xfId="1" applyFont="1" applyFill="1" applyBorder="1" applyAlignment="1">
      <alignment horizontal="center" vertical="center" shrinkToFit="1"/>
    </xf>
    <xf numFmtId="0" fontId="16" fillId="6" borderId="10" xfId="1" applyFont="1" applyFill="1" applyBorder="1" applyAlignment="1">
      <alignment horizontal="center" vertical="center" shrinkToFit="1"/>
    </xf>
    <xf numFmtId="0" fontId="16" fillId="10" borderId="10" xfId="1" applyFont="1" applyFill="1" applyBorder="1" applyAlignment="1">
      <alignment horizontal="center" vertical="center" shrinkToFit="1"/>
    </xf>
    <xf numFmtId="0" fontId="16" fillId="5" borderId="10" xfId="1" applyFont="1" applyFill="1" applyBorder="1" applyAlignment="1">
      <alignment horizontal="center" vertical="center" shrinkToFit="1"/>
    </xf>
    <xf numFmtId="0" fontId="16" fillId="14" borderId="10" xfId="1" applyFont="1" applyFill="1" applyBorder="1" applyAlignment="1">
      <alignment horizontal="center" vertical="center" shrinkToFit="1"/>
    </xf>
    <xf numFmtId="0" fontId="16" fillId="11" borderId="10" xfId="1" applyFont="1" applyFill="1" applyBorder="1" applyAlignment="1">
      <alignment horizontal="center" vertical="center" shrinkToFit="1"/>
    </xf>
    <xf numFmtId="0" fontId="16" fillId="4" borderId="10" xfId="1" applyFont="1" applyFill="1" applyBorder="1" applyAlignment="1">
      <alignment horizontal="center" vertical="center" shrinkToFit="1"/>
    </xf>
    <xf numFmtId="0" fontId="16" fillId="15" borderId="10" xfId="1" applyFont="1" applyFill="1" applyBorder="1" applyAlignment="1">
      <alignment horizontal="center" vertical="center" shrinkToFit="1"/>
    </xf>
    <xf numFmtId="49" fontId="9" fillId="0" borderId="10" xfId="1" applyNumberFormat="1" applyFont="1" applyBorder="1" applyAlignment="1">
      <alignment horizontal="center" vertical="center" shrinkToFit="1"/>
    </xf>
    <xf numFmtId="49" fontId="25" fillId="0" borderId="10" xfId="1" applyNumberFormat="1" applyFont="1" applyBorder="1" applyAlignment="1">
      <alignment horizontal="center" vertic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0" fontId="10" fillId="2" borderId="10" xfId="1" applyFont="1" applyFill="1" applyBorder="1" applyAlignment="1">
      <alignment horizontal="center" vertical="center" shrinkToFit="1"/>
    </xf>
    <xf numFmtId="0" fontId="21" fillId="2" borderId="10" xfId="1" applyFont="1" applyFill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24" fillId="18" borderId="10" xfId="1" applyFont="1" applyFill="1" applyBorder="1" applyAlignment="1">
      <alignment horizontal="center" vertical="center" shrinkToFit="1"/>
    </xf>
    <xf numFmtId="0" fontId="24" fillId="19" borderId="10" xfId="1" applyFont="1" applyFill="1" applyBorder="1" applyAlignment="1">
      <alignment horizontal="center" vertical="center" shrinkToFit="1"/>
    </xf>
    <xf numFmtId="0" fontId="5" fillId="7" borderId="10" xfId="1" applyFont="1" applyFill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shrinkToFit="1"/>
    </xf>
    <xf numFmtId="0" fontId="17" fillId="0" borderId="10" xfId="1" applyFont="1" applyBorder="1" applyAlignment="1">
      <alignment horizontal="center" vertical="center" shrinkToFit="1"/>
    </xf>
    <xf numFmtId="0" fontId="5" fillId="3" borderId="10" xfId="1" applyFont="1" applyFill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6" fillId="3" borderId="10" xfId="1" applyFont="1" applyFill="1" applyBorder="1" applyAlignment="1">
      <alignment horizontal="center" vertical="center" shrinkToFit="1"/>
    </xf>
    <xf numFmtId="0" fontId="16" fillId="0" borderId="4" xfId="1" applyFont="1" applyBorder="1" applyAlignment="1">
      <alignment horizontal="center" vertical="center" shrinkToFit="1"/>
    </xf>
    <xf numFmtId="0" fontId="10" fillId="7" borderId="10" xfId="1" applyFont="1" applyFill="1" applyBorder="1" applyAlignment="1">
      <alignment horizontal="center" vertical="center" shrinkToFit="1"/>
    </xf>
    <xf numFmtId="0" fontId="12" fillId="2" borderId="10" xfId="1" applyFont="1" applyFill="1" applyBorder="1" applyAlignment="1">
      <alignment horizontal="center" vertical="center" shrinkToFit="1"/>
    </xf>
    <xf numFmtId="0" fontId="18" fillId="0" borderId="10" xfId="1" applyFont="1" applyBorder="1" applyAlignment="1">
      <alignment horizontal="center" vertical="center" shrinkToFit="1"/>
    </xf>
    <xf numFmtId="0" fontId="29" fillId="18" borderId="10" xfId="1" applyFont="1" applyFill="1" applyBorder="1" applyAlignment="1">
      <alignment horizontal="center" vertical="center" shrinkToFit="1"/>
    </xf>
    <xf numFmtId="0" fontId="23" fillId="16" borderId="10" xfId="1" applyFont="1" applyFill="1" applyBorder="1" applyAlignment="1">
      <alignment horizontal="center" vertical="center" shrinkToFit="1"/>
    </xf>
    <xf numFmtId="0" fontId="23" fillId="22" borderId="10" xfId="1" applyFont="1" applyFill="1" applyBorder="1" applyAlignment="1">
      <alignment horizontal="center" vertical="center" shrinkToFit="1"/>
    </xf>
    <xf numFmtId="0" fontId="7" fillId="0" borderId="0" xfId="1" quotePrefix="1" applyFont="1">
      <alignment vertical="center"/>
    </xf>
    <xf numFmtId="56" fontId="5" fillId="0" borderId="0" xfId="1" applyNumberFormat="1" applyFont="1" applyAlignment="1">
      <alignment vertical="center" shrinkToFit="1"/>
    </xf>
    <xf numFmtId="0" fontId="21" fillId="0" borderId="10" xfId="1" applyFont="1" applyBorder="1" applyAlignment="1">
      <alignment horizontal="center" vertical="center" shrinkToFit="1"/>
    </xf>
    <xf numFmtId="56" fontId="5" fillId="0" borderId="0" xfId="1" applyNumberFormat="1" applyFont="1" applyAlignment="1">
      <alignment horizontal="left" vertical="center" shrinkToFit="1"/>
    </xf>
    <xf numFmtId="0" fontId="30" fillId="0" borderId="0" xfId="0" applyFont="1">
      <alignment vertical="center"/>
    </xf>
    <xf numFmtId="0" fontId="9" fillId="0" borderId="16" xfId="1" applyFont="1" applyBorder="1" applyAlignment="1">
      <alignment horizontal="center" vertical="center" shrinkToFit="1"/>
    </xf>
    <xf numFmtId="0" fontId="9" fillId="0" borderId="17" xfId="1" applyFont="1" applyBorder="1" applyAlignment="1">
      <alignment horizontal="center" vertical="center" shrinkToFit="1"/>
    </xf>
    <xf numFmtId="49" fontId="9" fillId="0" borderId="16" xfId="1" applyNumberFormat="1" applyFont="1" applyBorder="1" applyAlignment="1">
      <alignment horizontal="center" vertical="center" shrinkToFit="1"/>
    </xf>
    <xf numFmtId="49" fontId="9" fillId="0" borderId="17" xfId="1" applyNumberFormat="1" applyFont="1" applyBorder="1" applyAlignment="1">
      <alignment horizontal="center" vertical="center" shrinkToFit="1"/>
    </xf>
    <xf numFmtId="0" fontId="10" fillId="0" borderId="17" xfId="1" applyFont="1" applyBorder="1" applyAlignment="1">
      <alignment horizontal="center" vertical="center" shrinkToFit="1"/>
    </xf>
    <xf numFmtId="0" fontId="10" fillId="0" borderId="16" xfId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8" fillId="2" borderId="17" xfId="1" applyFont="1" applyFill="1" applyBorder="1" applyAlignment="1">
      <alignment horizontal="center" vertical="center" shrinkToFit="1"/>
    </xf>
    <xf numFmtId="0" fontId="10" fillId="0" borderId="10" xfId="1" applyFont="1" applyBorder="1" applyAlignment="1">
      <alignment horizontal="left" vertical="center"/>
    </xf>
    <xf numFmtId="0" fontId="10" fillId="0" borderId="14" xfId="1" applyFont="1" applyBorder="1" applyAlignment="1">
      <alignment horizontal="center" vertical="center" shrinkToFit="1"/>
    </xf>
    <xf numFmtId="0" fontId="5" fillId="25" borderId="0" xfId="1" applyFont="1" applyFill="1" applyAlignment="1">
      <alignment horizontal="center" vertical="center" shrinkToFit="1"/>
    </xf>
    <xf numFmtId="0" fontId="16" fillId="4" borderId="16" xfId="1" applyFont="1" applyFill="1" applyBorder="1" applyAlignment="1">
      <alignment horizontal="center" vertical="center" shrinkToFit="1"/>
    </xf>
    <xf numFmtId="49" fontId="9" fillId="27" borderId="10" xfId="1" applyNumberFormat="1" applyFont="1" applyFill="1" applyBorder="1" applyAlignment="1">
      <alignment horizontal="center" vertical="center" shrinkToFit="1"/>
    </xf>
    <xf numFmtId="20" fontId="10" fillId="0" borderId="10" xfId="1" applyNumberFormat="1" applyFont="1" applyBorder="1" applyAlignment="1">
      <alignment horizontal="center" vertical="center" shrinkToFit="1"/>
    </xf>
    <xf numFmtId="0" fontId="9" fillId="0" borderId="15" xfId="1" applyFont="1" applyBorder="1" applyAlignment="1">
      <alignment horizontal="center" vertical="center" shrinkToFit="1"/>
    </xf>
    <xf numFmtId="49" fontId="20" fillId="0" borderId="16" xfId="1" applyNumberFormat="1" applyFont="1" applyBorder="1" applyAlignment="1">
      <alignment horizontal="center" vertical="center" shrinkToFit="1"/>
    </xf>
    <xf numFmtId="56" fontId="5" fillId="0" borderId="10" xfId="1" applyNumberFormat="1" applyFont="1" applyBorder="1" applyAlignment="1">
      <alignment vertical="center" shrinkToFit="1"/>
    </xf>
    <xf numFmtId="49" fontId="25" fillId="0" borderId="17" xfId="1" applyNumberFormat="1" applyFont="1" applyBorder="1" applyAlignment="1">
      <alignment horizontal="center" vertical="center" shrinkToFit="1"/>
    </xf>
    <xf numFmtId="0" fontId="10" fillId="31" borderId="10" xfId="1" applyFont="1" applyFill="1" applyBorder="1" applyAlignment="1">
      <alignment horizontal="center" vertical="center" shrinkToFit="1"/>
    </xf>
    <xf numFmtId="0" fontId="5" fillId="0" borderId="0" xfId="1" applyFont="1">
      <alignment vertical="center"/>
    </xf>
    <xf numFmtId="0" fontId="16" fillId="30" borderId="10" xfId="1" applyFont="1" applyFill="1" applyBorder="1" applyAlignment="1">
      <alignment horizontal="center" vertical="center" shrinkToFit="1"/>
    </xf>
    <xf numFmtId="0" fontId="10" fillId="0" borderId="19" xfId="1" applyFont="1" applyBorder="1" applyAlignment="1">
      <alignment horizontal="center" vertical="center" shrinkToFit="1"/>
    </xf>
    <xf numFmtId="0" fontId="10" fillId="0" borderId="21" xfId="1" applyFont="1" applyBorder="1" applyAlignment="1">
      <alignment horizontal="center" vertical="center" shrinkToFit="1"/>
    </xf>
    <xf numFmtId="0" fontId="10" fillId="0" borderId="22" xfId="1" applyFont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6" fillId="4" borderId="24" xfId="1" applyFont="1" applyFill="1" applyBorder="1" applyAlignment="1">
      <alignment horizontal="center" vertical="center" shrinkToFit="1"/>
    </xf>
    <xf numFmtId="0" fontId="16" fillId="5" borderId="24" xfId="1" applyFont="1" applyFill="1" applyBorder="1" applyAlignment="1">
      <alignment horizontal="center" vertical="center" shrinkToFit="1"/>
    </xf>
    <xf numFmtId="0" fontId="16" fillId="4" borderId="21" xfId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0" fontId="16" fillId="0" borderId="24" xfId="1" applyFont="1" applyBorder="1" applyAlignment="1">
      <alignment horizontal="center" vertical="center" shrinkToFit="1"/>
    </xf>
    <xf numFmtId="0" fontId="9" fillId="2" borderId="10" xfId="1" applyFont="1" applyFill="1" applyBorder="1" applyAlignment="1">
      <alignment horizontal="center" vertical="center" shrinkToFit="1"/>
    </xf>
    <xf numFmtId="0" fontId="9" fillId="3" borderId="16" xfId="1" applyFont="1" applyFill="1" applyBorder="1" applyAlignment="1">
      <alignment horizontal="center" vertical="center" shrinkToFit="1"/>
    </xf>
    <xf numFmtId="0" fontId="10" fillId="0" borderId="18" xfId="1" applyFont="1" applyBorder="1" applyAlignment="1">
      <alignment horizontal="center" vertical="center" shrinkToFit="1"/>
    </xf>
    <xf numFmtId="0" fontId="5" fillId="7" borderId="21" xfId="1" applyFont="1" applyFill="1" applyBorder="1" applyAlignment="1">
      <alignment horizontal="center" vertical="center" shrinkToFit="1"/>
    </xf>
    <xf numFmtId="0" fontId="10" fillId="0" borderId="23" xfId="1" applyFont="1" applyBorder="1" applyAlignment="1">
      <alignment horizontal="center" vertical="center" shrinkToFit="1"/>
    </xf>
    <xf numFmtId="0" fontId="10" fillId="0" borderId="28" xfId="1" applyFont="1" applyBorder="1" applyAlignment="1">
      <alignment horizontal="center" vertical="center" shrinkToFit="1"/>
    </xf>
    <xf numFmtId="0" fontId="32" fillId="0" borderId="0" xfId="1" applyFont="1" applyAlignment="1">
      <alignment horizontal="center" shrinkToFit="1"/>
    </xf>
    <xf numFmtId="0" fontId="17" fillId="16" borderId="21" xfId="1" applyFont="1" applyFill="1" applyBorder="1" applyAlignment="1">
      <alignment horizontal="center" vertical="center" shrinkToFit="1"/>
    </xf>
    <xf numFmtId="0" fontId="16" fillId="32" borderId="10" xfId="1" applyFont="1" applyFill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0" fontId="10" fillId="0" borderId="30" xfId="1" applyFont="1" applyBorder="1" applyAlignment="1">
      <alignment horizontal="center" vertical="center" shrinkToFit="1"/>
    </xf>
    <xf numFmtId="0" fontId="5" fillId="0" borderId="24" xfId="1" applyFont="1" applyBorder="1" applyAlignment="1">
      <alignment horizontal="center" vertical="center" shrinkToFit="1"/>
    </xf>
    <xf numFmtId="0" fontId="10" fillId="29" borderId="21" xfId="1" applyFont="1" applyFill="1" applyBorder="1" applyAlignment="1">
      <alignment horizontal="center" vertical="center" shrinkToFit="1"/>
    </xf>
    <xf numFmtId="0" fontId="10" fillId="2" borderId="15" xfId="1" applyFont="1" applyFill="1" applyBorder="1" applyAlignment="1">
      <alignment horizontal="center" vertical="center" shrinkToFit="1"/>
    </xf>
    <xf numFmtId="0" fontId="17" fillId="17" borderId="21" xfId="1" applyFont="1" applyFill="1" applyBorder="1" applyAlignment="1">
      <alignment horizontal="center" vertical="center" shrinkToFit="1"/>
    </xf>
    <xf numFmtId="0" fontId="5" fillId="0" borderId="21" xfId="1" applyFont="1" applyBorder="1" applyAlignment="1">
      <alignment horizontal="center" vertical="center" shrinkToFit="1"/>
    </xf>
    <xf numFmtId="0" fontId="16" fillId="32" borderId="21" xfId="1" applyFont="1" applyFill="1" applyBorder="1" applyAlignment="1">
      <alignment horizontal="center" vertical="center" shrinkToFit="1"/>
    </xf>
    <xf numFmtId="49" fontId="10" fillId="0" borderId="10" xfId="1" applyNumberFormat="1" applyFont="1" applyBorder="1" applyAlignment="1">
      <alignment horizontal="center" vertical="center" shrinkToFit="1"/>
    </xf>
    <xf numFmtId="14" fontId="5" fillId="0" borderId="0" xfId="1" applyNumberFormat="1" applyFont="1" applyAlignment="1">
      <alignment horizontal="center" vertical="center" shrinkToFit="1"/>
    </xf>
    <xf numFmtId="0" fontId="10" fillId="24" borderId="21" xfId="1" applyFont="1" applyFill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/>
    </xf>
    <xf numFmtId="0" fontId="16" fillId="32" borderId="17" xfId="1" applyFont="1" applyFill="1" applyBorder="1" applyAlignment="1">
      <alignment horizontal="center" vertical="center" shrinkToFit="1"/>
    </xf>
    <xf numFmtId="0" fontId="10" fillId="30" borderId="15" xfId="1" applyFont="1" applyFill="1" applyBorder="1" applyAlignment="1">
      <alignment horizontal="center" vertical="center" shrinkToFit="1"/>
    </xf>
    <xf numFmtId="0" fontId="9" fillId="33" borderId="10" xfId="1" applyFont="1" applyFill="1" applyBorder="1" applyAlignment="1">
      <alignment horizontal="center" vertical="center" shrinkToFit="1"/>
    </xf>
    <xf numFmtId="0" fontId="9" fillId="7" borderId="15" xfId="1" applyFont="1" applyFill="1" applyBorder="1" applyAlignment="1">
      <alignment horizontal="center" vertical="center" shrinkToFit="1"/>
    </xf>
    <xf numFmtId="0" fontId="5" fillId="7" borderId="0" xfId="1" applyFont="1" applyFill="1" applyAlignment="1">
      <alignment vertical="center" shrinkToFit="1"/>
    </xf>
    <xf numFmtId="0" fontId="21" fillId="2" borderId="17" xfId="1" applyFont="1" applyFill="1" applyBorder="1" applyAlignment="1">
      <alignment horizontal="center" vertical="center" shrinkToFit="1"/>
    </xf>
    <xf numFmtId="0" fontId="7" fillId="0" borderId="10" xfId="1" applyFont="1" applyBorder="1" applyAlignment="1">
      <alignment horizontal="center" vertical="center" shrinkToFit="1"/>
    </xf>
    <xf numFmtId="0" fontId="21" fillId="7" borderId="10" xfId="1" applyFont="1" applyFill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 wrapText="1" shrinkToFit="1"/>
    </xf>
    <xf numFmtId="0" fontId="16" fillId="4" borderId="22" xfId="1" applyFont="1" applyFill="1" applyBorder="1" applyAlignment="1">
      <alignment horizontal="center" vertical="center" shrinkToFit="1"/>
    </xf>
    <xf numFmtId="0" fontId="6" fillId="0" borderId="33" xfId="1" applyFont="1" applyBorder="1" applyAlignment="1">
      <alignment horizontal="center" vertical="center" shrinkToFit="1"/>
    </xf>
    <xf numFmtId="0" fontId="6" fillId="0" borderId="34" xfId="1" applyFont="1" applyBorder="1" applyAlignment="1">
      <alignment horizontal="center" vertical="center" shrinkToFit="1"/>
    </xf>
    <xf numFmtId="0" fontId="5" fillId="0" borderId="35" xfId="1" applyFont="1" applyBorder="1" applyAlignment="1">
      <alignment vertical="center" shrinkToFit="1"/>
    </xf>
    <xf numFmtId="0" fontId="5" fillId="0" borderId="36" xfId="1" applyFont="1" applyBorder="1" applyAlignment="1">
      <alignment vertical="center" shrinkToFit="1"/>
    </xf>
    <xf numFmtId="0" fontId="6" fillId="0" borderId="37" xfId="1" applyFont="1" applyBorder="1" applyAlignment="1">
      <alignment horizontal="center" vertical="center" shrinkToFit="1"/>
    </xf>
    <xf numFmtId="0" fontId="6" fillId="0" borderId="38" xfId="1" applyFont="1" applyBorder="1" applyAlignment="1">
      <alignment horizontal="center" vertical="center" shrinkToFit="1"/>
    </xf>
    <xf numFmtId="49" fontId="37" fillId="0" borderId="10" xfId="1" applyNumberFormat="1" applyFont="1" applyBorder="1" applyAlignment="1">
      <alignment horizontal="center" vertical="center" shrinkToFit="1"/>
    </xf>
    <xf numFmtId="20" fontId="7" fillId="0" borderId="10" xfId="1" applyNumberFormat="1" applyFont="1" applyBorder="1" applyAlignment="1">
      <alignment horizontal="center" vertical="center" shrinkToFit="1"/>
    </xf>
    <xf numFmtId="0" fontId="16" fillId="30" borderId="16" xfId="1" applyFont="1" applyFill="1" applyBorder="1" applyAlignment="1">
      <alignment horizontal="center" vertical="center" shrinkToFit="1"/>
    </xf>
    <xf numFmtId="0" fontId="11" fillId="28" borderId="15" xfId="1" applyFont="1" applyFill="1" applyBorder="1" applyAlignment="1">
      <alignment horizontal="center" vertical="center" shrinkToFit="1"/>
    </xf>
    <xf numFmtId="0" fontId="38" fillId="0" borderId="10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left" vertical="center"/>
    </xf>
    <xf numFmtId="0" fontId="21" fillId="0" borderId="24" xfId="1" applyFont="1" applyBorder="1" applyAlignment="1">
      <alignment horizontal="center" vertical="center" shrinkToFit="1"/>
    </xf>
    <xf numFmtId="0" fontId="10" fillId="0" borderId="16" xfId="1" applyFont="1" applyBorder="1" applyAlignment="1">
      <alignment horizontal="center" vertical="center"/>
    </xf>
    <xf numFmtId="49" fontId="41" fillId="0" borderId="10" xfId="1" applyNumberFormat="1" applyFont="1" applyBorder="1" applyAlignment="1">
      <alignment horizontal="center" vertical="center" shrinkToFit="1"/>
    </xf>
    <xf numFmtId="20" fontId="8" fillId="0" borderId="10" xfId="1" applyNumberFormat="1" applyFont="1" applyBorder="1" applyAlignment="1">
      <alignment horizontal="left" vertical="center"/>
    </xf>
    <xf numFmtId="0" fontId="10" fillId="0" borderId="17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0" fillId="26" borderId="21" xfId="1" applyFont="1" applyFill="1" applyBorder="1" applyAlignment="1">
      <alignment horizontal="center" vertical="center" shrinkToFit="1"/>
    </xf>
    <xf numFmtId="49" fontId="9" fillId="21" borderId="10" xfId="1" applyNumberFormat="1" applyFont="1" applyFill="1" applyBorder="1" applyAlignment="1">
      <alignment horizontal="center" vertical="center" shrinkToFit="1"/>
    </xf>
    <xf numFmtId="49" fontId="9" fillId="21" borderId="16" xfId="1" applyNumberFormat="1" applyFont="1" applyFill="1" applyBorder="1" applyAlignment="1">
      <alignment horizontal="center" vertical="center" shrinkToFit="1"/>
    </xf>
    <xf numFmtId="0" fontId="16" fillId="34" borderId="10" xfId="1" applyFont="1" applyFill="1" applyBorder="1" applyAlignment="1">
      <alignment horizontal="center" vertical="center" shrinkToFit="1"/>
    </xf>
    <xf numFmtId="0" fontId="16" fillId="35" borderId="21" xfId="1" applyFont="1" applyFill="1" applyBorder="1" applyAlignment="1">
      <alignment horizontal="center" vertical="center" shrinkToFit="1"/>
    </xf>
    <xf numFmtId="0" fontId="16" fillId="35" borderId="10" xfId="1" applyFont="1" applyFill="1" applyBorder="1" applyAlignment="1">
      <alignment horizontal="center" vertical="center" shrinkToFit="1"/>
    </xf>
    <xf numFmtId="0" fontId="10" fillId="27" borderId="10" xfId="1" applyFont="1" applyFill="1" applyBorder="1" applyAlignment="1">
      <alignment horizontal="center" vertical="center"/>
    </xf>
    <xf numFmtId="0" fontId="10" fillId="27" borderId="21" xfId="1" applyFont="1" applyFill="1" applyBorder="1" applyAlignment="1">
      <alignment horizontal="center" vertical="center" shrinkToFit="1"/>
    </xf>
    <xf numFmtId="0" fontId="10" fillId="36" borderId="10" xfId="1" applyFont="1" applyFill="1" applyBorder="1" applyAlignment="1">
      <alignment horizontal="center" vertical="center" shrinkToFit="1"/>
    </xf>
    <xf numFmtId="0" fontId="10" fillId="36" borderId="16" xfId="1" applyFont="1" applyFill="1" applyBorder="1" applyAlignment="1">
      <alignment horizontal="center" vertical="center" shrinkToFit="1"/>
    </xf>
    <xf numFmtId="0" fontId="10" fillId="37" borderId="15" xfId="1" applyFont="1" applyFill="1" applyBorder="1" applyAlignment="1">
      <alignment horizontal="center" vertical="center" shrinkToFit="1"/>
    </xf>
    <xf numFmtId="0" fontId="10" fillId="37" borderId="10" xfId="1" applyFont="1" applyFill="1" applyBorder="1" applyAlignment="1">
      <alignment horizontal="center" vertical="center" shrinkToFit="1"/>
    </xf>
    <xf numFmtId="0" fontId="21" fillId="38" borderId="10" xfId="1" applyFont="1" applyFill="1" applyBorder="1" applyAlignment="1">
      <alignment horizontal="center" vertical="center" shrinkToFit="1"/>
    </xf>
    <xf numFmtId="0" fontId="16" fillId="39" borderId="10" xfId="1" applyFont="1" applyFill="1" applyBorder="1" applyAlignment="1">
      <alignment horizontal="center" vertical="center" shrinkToFit="1"/>
    </xf>
    <xf numFmtId="0" fontId="16" fillId="37" borderId="10" xfId="1" applyFont="1" applyFill="1" applyBorder="1" applyAlignment="1">
      <alignment horizontal="center" vertical="center" shrinkToFit="1"/>
    </xf>
    <xf numFmtId="49" fontId="9" fillId="27" borderId="17" xfId="1" applyNumberFormat="1" applyFont="1" applyFill="1" applyBorder="1" applyAlignment="1">
      <alignment horizontal="center" vertical="center" shrinkToFit="1"/>
    </xf>
    <xf numFmtId="0" fontId="16" fillId="35" borderId="16" xfId="1" applyFont="1" applyFill="1" applyBorder="1" applyAlignment="1">
      <alignment horizontal="center" vertical="center" shrinkToFit="1"/>
    </xf>
    <xf numFmtId="0" fontId="10" fillId="37" borderId="17" xfId="1" applyFont="1" applyFill="1" applyBorder="1" applyAlignment="1">
      <alignment horizontal="center" vertical="center" shrinkToFit="1"/>
    </xf>
    <xf numFmtId="0" fontId="16" fillId="35" borderId="22" xfId="1" applyFont="1" applyFill="1" applyBorder="1" applyAlignment="1">
      <alignment horizontal="center" vertical="center" shrinkToFit="1"/>
    </xf>
    <xf numFmtId="0" fontId="21" fillId="7" borderId="21" xfId="1" applyFont="1" applyFill="1" applyBorder="1" applyAlignment="1">
      <alignment horizontal="center" vertical="center" shrinkToFit="1"/>
    </xf>
    <xf numFmtId="0" fontId="5" fillId="0" borderId="10" xfId="1" applyFont="1" applyBorder="1" applyAlignment="1">
      <alignment horizontal="left" vertical="center"/>
    </xf>
    <xf numFmtId="0" fontId="16" fillId="35" borderId="24" xfId="1" applyFont="1" applyFill="1" applyBorder="1" applyAlignment="1">
      <alignment horizontal="center" vertical="center" shrinkToFit="1"/>
    </xf>
    <xf numFmtId="0" fontId="17" fillId="17" borderId="24" xfId="1" applyFont="1" applyFill="1" applyBorder="1" applyAlignment="1">
      <alignment horizontal="center" vertical="center" shrinkToFit="1"/>
    </xf>
    <xf numFmtId="0" fontId="16" fillId="34" borderId="21" xfId="1" applyFont="1" applyFill="1" applyBorder="1" applyAlignment="1">
      <alignment horizontal="center" vertical="center" shrinkToFit="1"/>
    </xf>
    <xf numFmtId="0" fontId="10" fillId="40" borderId="10" xfId="1" applyFont="1" applyFill="1" applyBorder="1" applyAlignment="1">
      <alignment horizontal="center" vertical="center" shrinkToFit="1"/>
    </xf>
    <xf numFmtId="0" fontId="10" fillId="40" borderId="16" xfId="1" applyFont="1" applyFill="1" applyBorder="1" applyAlignment="1">
      <alignment horizontal="center" vertical="center" shrinkToFit="1"/>
    </xf>
    <xf numFmtId="0" fontId="21" fillId="7" borderId="28" xfId="1" applyFont="1" applyFill="1" applyBorder="1" applyAlignment="1">
      <alignment horizontal="center" vertical="center" shrinkToFit="1"/>
    </xf>
    <xf numFmtId="0" fontId="16" fillId="0" borderId="15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16" fillId="35" borderId="25" xfId="1" applyFont="1" applyFill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0" fontId="10" fillId="7" borderId="24" xfId="1" applyFont="1" applyFill="1" applyBorder="1" applyAlignment="1">
      <alignment horizontal="center" vertical="center" shrinkToFit="1"/>
    </xf>
    <xf numFmtId="0" fontId="10" fillId="7" borderId="21" xfId="1" applyFont="1" applyFill="1" applyBorder="1" applyAlignment="1">
      <alignment horizontal="center" vertical="center" shrinkToFit="1"/>
    </xf>
    <xf numFmtId="0" fontId="5" fillId="0" borderId="41" xfId="1" applyFont="1" applyBorder="1" applyAlignment="1">
      <alignment vertical="center" shrinkToFit="1"/>
    </xf>
    <xf numFmtId="0" fontId="10" fillId="0" borderId="5" xfId="1" applyFont="1" applyBorder="1" applyAlignment="1">
      <alignment horizontal="center" vertical="center" shrinkToFit="1"/>
    </xf>
    <xf numFmtId="0" fontId="10" fillId="0" borderId="45" xfId="1" applyFont="1" applyBorder="1" applyAlignment="1">
      <alignment horizontal="center" vertical="center" shrinkToFit="1"/>
    </xf>
    <xf numFmtId="0" fontId="16" fillId="0" borderId="16" xfId="1" applyFont="1" applyBorder="1" applyAlignment="1">
      <alignment horizontal="center" vertical="center" shrinkToFit="1"/>
    </xf>
    <xf numFmtId="0" fontId="16" fillId="0" borderId="25" xfId="1" applyFont="1" applyBorder="1" applyAlignment="1">
      <alignment horizontal="center" vertical="center" shrinkToFit="1"/>
    </xf>
    <xf numFmtId="0" fontId="9" fillId="0" borderId="11" xfId="1" applyFont="1" applyBorder="1" applyAlignment="1">
      <alignment horizontal="center" vertical="center" shrinkToFit="1"/>
    </xf>
    <xf numFmtId="49" fontId="9" fillId="0" borderId="11" xfId="1" applyNumberFormat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left" vertical="center"/>
    </xf>
    <xf numFmtId="49" fontId="9" fillId="27" borderId="11" xfId="1" applyNumberFormat="1" applyFont="1" applyFill="1" applyBorder="1" applyAlignment="1">
      <alignment horizontal="center" vertical="center" shrinkToFit="1"/>
    </xf>
    <xf numFmtId="0" fontId="10" fillId="41" borderId="21" xfId="1" applyFont="1" applyFill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shrinkToFit="1"/>
    </xf>
    <xf numFmtId="0" fontId="5" fillId="0" borderId="0" xfId="1" applyFont="1" applyAlignment="1">
      <alignment horizontal="right" vertical="center" shrinkToFit="1"/>
    </xf>
    <xf numFmtId="0" fontId="10" fillId="0" borderId="8" xfId="1" applyFont="1" applyBorder="1" applyAlignment="1">
      <alignment horizontal="center" vertical="center" shrinkToFit="1"/>
    </xf>
    <xf numFmtId="0" fontId="10" fillId="0" borderId="9" xfId="1" applyFont="1" applyBorder="1" applyAlignment="1">
      <alignment horizontal="center" vertical="center" shrinkToFit="1"/>
    </xf>
    <xf numFmtId="49" fontId="9" fillId="43" borderId="10" xfId="1" applyNumberFormat="1" applyFont="1" applyFill="1" applyBorder="1" applyAlignment="1">
      <alignment horizontal="center" vertical="center" shrinkToFit="1"/>
    </xf>
    <xf numFmtId="49" fontId="25" fillId="43" borderId="10" xfId="1" applyNumberFormat="1" applyFont="1" applyFill="1" applyBorder="1" applyAlignment="1">
      <alignment horizontal="center" vertical="center" shrinkToFit="1"/>
    </xf>
    <xf numFmtId="0" fontId="10" fillId="36" borderId="15" xfId="1" applyFont="1" applyFill="1" applyBorder="1" applyAlignment="1">
      <alignment horizontal="center" vertical="center" shrinkToFit="1"/>
    </xf>
    <xf numFmtId="0" fontId="21" fillId="44" borderId="10" xfId="1" applyFont="1" applyFill="1" applyBorder="1" applyAlignment="1">
      <alignment horizontal="center" vertical="center" shrinkToFit="1"/>
    </xf>
    <xf numFmtId="0" fontId="16" fillId="45" borderId="10" xfId="1" applyFont="1" applyFill="1" applyBorder="1" applyAlignment="1">
      <alignment horizontal="center" vertical="center" shrinkToFit="1"/>
    </xf>
    <xf numFmtId="0" fontId="16" fillId="36" borderId="10" xfId="1" applyFont="1" applyFill="1" applyBorder="1" applyAlignment="1">
      <alignment horizontal="center" vertical="center" shrinkToFit="1"/>
    </xf>
    <xf numFmtId="0" fontId="10" fillId="36" borderId="17" xfId="1" applyFont="1" applyFill="1" applyBorder="1" applyAlignment="1">
      <alignment horizontal="center" vertical="center" shrinkToFit="1"/>
    </xf>
    <xf numFmtId="0" fontId="10" fillId="23" borderId="21" xfId="1" applyFont="1" applyFill="1" applyBorder="1" applyAlignment="1">
      <alignment horizontal="center" vertical="center" shrinkToFit="1"/>
    </xf>
    <xf numFmtId="0" fontId="10" fillId="21" borderId="10" xfId="1" applyFont="1" applyFill="1" applyBorder="1" applyAlignment="1">
      <alignment horizontal="center" vertical="center" shrinkToFit="1"/>
    </xf>
    <xf numFmtId="0" fontId="10" fillId="18" borderId="10" xfId="1" applyFont="1" applyFill="1" applyBorder="1" applyAlignment="1">
      <alignment horizontal="center" vertical="center" shrinkToFit="1"/>
    </xf>
    <xf numFmtId="0" fontId="48" fillId="0" borderId="10" xfId="1" applyFont="1" applyBorder="1" applyAlignment="1">
      <alignment horizontal="center" vertical="center" shrinkToFit="1"/>
    </xf>
    <xf numFmtId="0" fontId="47" fillId="26" borderId="10" xfId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9" fillId="18" borderId="10" xfId="1" applyFont="1" applyFill="1" applyBorder="1" applyAlignment="1">
      <alignment horizontal="center" vertical="center" shrinkToFit="1"/>
    </xf>
    <xf numFmtId="0" fontId="9" fillId="7" borderId="10" xfId="1" applyFont="1" applyFill="1" applyBorder="1" applyAlignment="1">
      <alignment horizontal="center" vertical="center" shrinkToFit="1"/>
    </xf>
    <xf numFmtId="49" fontId="9" fillId="22" borderId="10" xfId="1" applyNumberFormat="1" applyFont="1" applyFill="1" applyBorder="1" applyAlignment="1">
      <alignment horizontal="center" vertical="center" shrinkToFit="1"/>
    </xf>
    <xf numFmtId="49" fontId="25" fillId="22" borderId="10" xfId="1" applyNumberFormat="1" applyFont="1" applyFill="1" applyBorder="1" applyAlignment="1">
      <alignment horizontal="center" vertical="center" shrinkToFit="1"/>
    </xf>
    <xf numFmtId="0" fontId="9" fillId="46" borderId="10" xfId="1" applyFont="1" applyFill="1" applyBorder="1" applyAlignment="1">
      <alignment horizontal="center" vertical="center" shrinkToFit="1"/>
    </xf>
    <xf numFmtId="0" fontId="10" fillId="4" borderId="15" xfId="1" applyFont="1" applyFill="1" applyBorder="1" applyAlignment="1">
      <alignment horizontal="center" vertical="center" shrinkToFit="1"/>
    </xf>
    <xf numFmtId="0" fontId="16" fillId="47" borderId="10" xfId="1" applyFont="1" applyFill="1" applyBorder="1" applyAlignment="1">
      <alignment horizontal="center" vertical="center" shrinkToFit="1"/>
    </xf>
    <xf numFmtId="0" fontId="16" fillId="35" borderId="11" xfId="1" applyFont="1" applyFill="1" applyBorder="1" applyAlignment="1">
      <alignment horizontal="center" vertical="center" shrinkToFit="1"/>
    </xf>
    <xf numFmtId="0" fontId="16" fillId="35" borderId="6" xfId="1" applyFont="1" applyFill="1" applyBorder="1" applyAlignment="1">
      <alignment horizontal="center" vertical="center" shrinkToFit="1"/>
    </xf>
    <xf numFmtId="0" fontId="10" fillId="0" borderId="46" xfId="1" applyFont="1" applyBorder="1" applyAlignment="1">
      <alignment horizontal="center" vertical="center" shrinkToFit="1"/>
    </xf>
    <xf numFmtId="0" fontId="10" fillId="42" borderId="15" xfId="1" applyFont="1" applyFill="1" applyBorder="1" applyAlignment="1">
      <alignment horizontal="center" vertical="center" shrinkToFit="1"/>
    </xf>
    <xf numFmtId="0" fontId="10" fillId="43" borderId="14" xfId="1" applyFont="1" applyFill="1" applyBorder="1" applyAlignment="1">
      <alignment horizontal="center" vertical="center" shrinkToFit="1"/>
    </xf>
    <xf numFmtId="0" fontId="10" fillId="43" borderId="15" xfId="1" applyFont="1" applyFill="1" applyBorder="1" applyAlignment="1">
      <alignment horizontal="center" vertical="center" shrinkToFit="1"/>
    </xf>
    <xf numFmtId="0" fontId="10" fillId="43" borderId="10" xfId="1" applyFont="1" applyFill="1" applyBorder="1" applyAlignment="1">
      <alignment horizontal="center" vertical="center" shrinkToFit="1"/>
    </xf>
    <xf numFmtId="0" fontId="10" fillId="48" borderId="15" xfId="1" applyFont="1" applyFill="1" applyBorder="1" applyAlignment="1">
      <alignment horizontal="center" vertical="center" shrinkToFit="1"/>
    </xf>
    <xf numFmtId="0" fontId="10" fillId="21" borderId="16" xfId="1" applyFont="1" applyFill="1" applyBorder="1" applyAlignment="1">
      <alignment horizontal="center" vertical="center" shrinkToFit="1"/>
    </xf>
    <xf numFmtId="0" fontId="10" fillId="43" borderId="16" xfId="1" applyFont="1" applyFill="1" applyBorder="1" applyAlignment="1">
      <alignment horizontal="center" vertical="center" shrinkToFit="1"/>
    </xf>
    <xf numFmtId="0" fontId="10" fillId="43" borderId="18" xfId="1" applyFont="1" applyFill="1" applyBorder="1" applyAlignment="1">
      <alignment horizontal="center" vertical="center" shrinkToFit="1"/>
    </xf>
    <xf numFmtId="0" fontId="16" fillId="35" borderId="47" xfId="1" applyFont="1" applyFill="1" applyBorder="1" applyAlignment="1">
      <alignment horizontal="center" vertical="center" shrinkToFit="1"/>
    </xf>
    <xf numFmtId="0" fontId="16" fillId="35" borderId="17" xfId="1" applyFont="1" applyFill="1" applyBorder="1" applyAlignment="1">
      <alignment horizontal="center" vertical="center" shrinkToFit="1"/>
    </xf>
    <xf numFmtId="0" fontId="10" fillId="42" borderId="17" xfId="1" applyFont="1" applyFill="1" applyBorder="1" applyAlignment="1">
      <alignment horizontal="center" vertical="center" shrinkToFit="1"/>
    </xf>
    <xf numFmtId="0" fontId="16" fillId="35" borderId="23" xfId="1" applyFont="1" applyFill="1" applyBorder="1" applyAlignment="1">
      <alignment horizontal="center" vertical="center" shrinkToFit="1"/>
    </xf>
    <xf numFmtId="0" fontId="10" fillId="42" borderId="10" xfId="1" applyFont="1" applyFill="1" applyBorder="1" applyAlignment="1">
      <alignment horizontal="center" vertical="center" shrinkToFit="1"/>
    </xf>
    <xf numFmtId="0" fontId="5" fillId="40" borderId="0" xfId="1" applyFont="1" applyFill="1" applyAlignment="1">
      <alignment vertical="center" shrinkToFit="1"/>
    </xf>
    <xf numFmtId="0" fontId="6" fillId="40" borderId="0" xfId="1" applyFont="1" applyFill="1" applyAlignment="1">
      <alignment horizontal="center" vertical="center" shrinkToFit="1"/>
    </xf>
    <xf numFmtId="49" fontId="9" fillId="40" borderId="10" xfId="1" applyNumberFormat="1" applyFont="1" applyFill="1" applyBorder="1" applyAlignment="1">
      <alignment horizontal="center" vertical="center" shrinkToFit="1"/>
    </xf>
    <xf numFmtId="0" fontId="10" fillId="40" borderId="15" xfId="1" applyFont="1" applyFill="1" applyBorder="1" applyAlignment="1">
      <alignment horizontal="center" vertical="center" shrinkToFit="1"/>
    </xf>
    <xf numFmtId="0" fontId="10" fillId="40" borderId="28" xfId="1" applyFont="1" applyFill="1" applyBorder="1" applyAlignment="1">
      <alignment horizontal="center" vertical="center" shrinkToFit="1"/>
    </xf>
    <xf numFmtId="0" fontId="16" fillId="40" borderId="10" xfId="1" applyFont="1" applyFill="1" applyBorder="1" applyAlignment="1">
      <alignment horizontal="center" vertical="center" shrinkToFit="1"/>
    </xf>
    <xf numFmtId="0" fontId="9" fillId="40" borderId="10" xfId="1" applyFont="1" applyFill="1" applyBorder="1" applyAlignment="1">
      <alignment horizontal="center" vertical="center" shrinkToFit="1"/>
    </xf>
    <xf numFmtId="0" fontId="10" fillId="40" borderId="24" xfId="1" applyFont="1" applyFill="1" applyBorder="1" applyAlignment="1">
      <alignment horizontal="center" vertical="center" shrinkToFit="1"/>
    </xf>
    <xf numFmtId="0" fontId="8" fillId="40" borderId="10" xfId="1" applyFont="1" applyFill="1" applyBorder="1" applyAlignment="1">
      <alignment horizontal="center" vertical="center" shrinkToFit="1"/>
    </xf>
    <xf numFmtId="0" fontId="10" fillId="49" borderId="10" xfId="1" applyFont="1" applyFill="1" applyBorder="1" applyAlignment="1">
      <alignment horizontal="center" vertical="center" shrinkToFit="1"/>
    </xf>
    <xf numFmtId="0" fontId="8" fillId="0" borderId="12" xfId="1" applyFont="1" applyBorder="1" applyAlignment="1">
      <alignment horizontal="center" vertical="center" shrinkToFit="1"/>
    </xf>
    <xf numFmtId="0" fontId="16" fillId="50" borderId="10" xfId="1" applyFont="1" applyFill="1" applyBorder="1" applyAlignment="1">
      <alignment horizontal="center" vertical="center" shrinkToFit="1"/>
    </xf>
    <xf numFmtId="0" fontId="9" fillId="24" borderId="10" xfId="1" applyFont="1" applyFill="1" applyBorder="1" applyAlignment="1">
      <alignment horizontal="center" vertical="center" shrinkToFit="1"/>
    </xf>
    <xf numFmtId="0" fontId="10" fillId="32" borderId="15" xfId="1" applyFont="1" applyFill="1" applyBorder="1" applyAlignment="1">
      <alignment horizontal="center" vertical="center" shrinkToFit="1"/>
    </xf>
    <xf numFmtId="0" fontId="16" fillId="35" borderId="19" xfId="1" applyFont="1" applyFill="1" applyBorder="1" applyAlignment="1">
      <alignment horizontal="center" vertical="center" shrinkToFit="1"/>
    </xf>
    <xf numFmtId="0" fontId="16" fillId="35" borderId="4" xfId="1" applyFont="1" applyFill="1" applyBorder="1" applyAlignment="1">
      <alignment horizontal="center" vertical="center" shrinkToFit="1"/>
    </xf>
    <xf numFmtId="0" fontId="16" fillId="35" borderId="18" xfId="1" applyFont="1" applyFill="1" applyBorder="1" applyAlignment="1">
      <alignment horizontal="center" vertical="center" shrinkToFit="1"/>
    </xf>
    <xf numFmtId="0" fontId="17" fillId="16" borderId="2" xfId="1" applyFont="1" applyFill="1" applyBorder="1" applyAlignment="1">
      <alignment horizontal="center" vertical="center" shrinkToFit="1"/>
    </xf>
    <xf numFmtId="0" fontId="16" fillId="34" borderId="2" xfId="1" applyFont="1" applyFill="1" applyBorder="1" applyAlignment="1">
      <alignment horizontal="center" vertical="center" shrinkToFit="1"/>
    </xf>
    <xf numFmtId="0" fontId="16" fillId="35" borderId="2" xfId="1" applyFont="1" applyFill="1" applyBorder="1" applyAlignment="1">
      <alignment horizontal="center" vertical="center" shrinkToFit="1"/>
    </xf>
    <xf numFmtId="0" fontId="10" fillId="0" borderId="47" xfId="1" applyFont="1" applyBorder="1" applyAlignment="1">
      <alignment horizontal="center" vertical="center" shrinkToFit="1"/>
    </xf>
    <xf numFmtId="0" fontId="10" fillId="0" borderId="48" xfId="1" applyFont="1" applyBorder="1" applyAlignment="1">
      <alignment horizontal="center" vertical="center" shrinkToFit="1"/>
    </xf>
    <xf numFmtId="0" fontId="21" fillId="7" borderId="2" xfId="1" applyFont="1" applyFill="1" applyBorder="1" applyAlignment="1">
      <alignment horizontal="center" vertical="center" shrinkToFit="1"/>
    </xf>
    <xf numFmtId="0" fontId="10" fillId="7" borderId="4" xfId="1" applyFont="1" applyFill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 shrinkToFit="1"/>
    </xf>
    <xf numFmtId="0" fontId="8" fillId="40" borderId="2" xfId="1" applyFont="1" applyFill="1" applyBorder="1" applyAlignment="1">
      <alignment horizontal="center" vertical="center" shrinkToFit="1"/>
    </xf>
    <xf numFmtId="0" fontId="8" fillId="0" borderId="7" xfId="1" applyFont="1" applyBorder="1" applyAlignment="1">
      <alignment horizontal="center" vertical="center" shrinkToFit="1"/>
    </xf>
    <xf numFmtId="0" fontId="10" fillId="43" borderId="4" xfId="1" applyFont="1" applyFill="1" applyBorder="1" applyAlignment="1">
      <alignment horizontal="center" vertical="center" shrinkToFit="1"/>
    </xf>
    <xf numFmtId="0" fontId="10" fillId="21" borderId="18" xfId="1" applyFont="1" applyFill="1" applyBorder="1" applyAlignment="1">
      <alignment horizontal="center" vertical="center" shrinkToFit="1"/>
    </xf>
    <xf numFmtId="0" fontId="21" fillId="2" borderId="4" xfId="1" applyFont="1" applyFill="1" applyBorder="1" applyAlignment="1">
      <alignment horizontal="center" vertical="center" shrinkToFit="1"/>
    </xf>
    <xf numFmtId="0" fontId="10" fillId="40" borderId="14" xfId="1" applyFont="1" applyFill="1" applyBorder="1" applyAlignment="1">
      <alignment horizontal="center" vertical="center" shrinkToFit="1"/>
    </xf>
    <xf numFmtId="0" fontId="32" fillId="0" borderId="0" xfId="1" applyFont="1" applyAlignment="1">
      <alignment horizontal="center" vertical="center" shrinkToFit="1"/>
    </xf>
    <xf numFmtId="0" fontId="6" fillId="0" borderId="49" xfId="1" applyFont="1" applyBorder="1" applyAlignment="1">
      <alignment horizontal="center" vertical="center" shrinkToFit="1"/>
    </xf>
    <xf numFmtId="0" fontId="6" fillId="0" borderId="50" xfId="1" applyFont="1" applyBorder="1" applyAlignment="1">
      <alignment horizontal="center" vertical="center" shrinkToFit="1"/>
    </xf>
    <xf numFmtId="0" fontId="6" fillId="40" borderId="50" xfId="1" applyFont="1" applyFill="1" applyBorder="1" applyAlignment="1">
      <alignment horizontal="center" vertical="center" shrinkToFit="1"/>
    </xf>
    <xf numFmtId="0" fontId="6" fillId="0" borderId="51" xfId="1" applyFont="1" applyBorder="1" applyAlignment="1">
      <alignment horizontal="center" vertical="center" shrinkToFit="1"/>
    </xf>
    <xf numFmtId="0" fontId="10" fillId="29" borderId="15" xfId="1" applyFont="1" applyFill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center" shrinkToFit="1"/>
    </xf>
    <xf numFmtId="0" fontId="39" fillId="0" borderId="10" xfId="1" applyFont="1" applyBorder="1" applyAlignment="1">
      <alignment horizontal="center" vertical="center" shrinkToFit="1"/>
    </xf>
    <xf numFmtId="0" fontId="32" fillId="0" borderId="41" xfId="1" applyFont="1" applyBorder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10" fillId="7" borderId="16" xfId="1" applyFont="1" applyFill="1" applyBorder="1" applyAlignment="1">
      <alignment horizontal="center" vertical="center" shrinkToFit="1"/>
    </xf>
    <xf numFmtId="0" fontId="10" fillId="7" borderId="25" xfId="1" applyFont="1" applyFill="1" applyBorder="1" applyAlignment="1">
      <alignment horizontal="center" vertical="center" shrinkToFit="1"/>
    </xf>
    <xf numFmtId="0" fontId="33" fillId="51" borderId="17" xfId="1" applyFont="1" applyFill="1" applyBorder="1" applyAlignment="1">
      <alignment horizontal="center" vertical="center" shrinkToFit="1"/>
    </xf>
    <xf numFmtId="0" fontId="7" fillId="51" borderId="26" xfId="1" applyFont="1" applyFill="1" applyBorder="1" applyAlignment="1">
      <alignment horizontal="center" vertical="center" shrinkToFit="1"/>
    </xf>
    <xf numFmtId="0" fontId="49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2" fillId="0" borderId="10" xfId="1" applyNumberFormat="1" applyFont="1" applyBorder="1" applyAlignment="1">
      <alignment horizontal="right" vertical="center" shrinkToFit="1"/>
    </xf>
    <xf numFmtId="0" fontId="5" fillId="0" borderId="49" xfId="1" applyFont="1" applyBorder="1" applyAlignment="1">
      <alignment vertical="center" shrinkToFit="1"/>
    </xf>
    <xf numFmtId="0" fontId="5" fillId="0" borderId="50" xfId="1" applyFont="1" applyBorder="1" applyAlignment="1">
      <alignment vertical="center" shrinkToFit="1"/>
    </xf>
    <xf numFmtId="0" fontId="5" fillId="40" borderId="50" xfId="1" applyFont="1" applyFill="1" applyBorder="1" applyAlignment="1">
      <alignment vertical="center" shrinkToFit="1"/>
    </xf>
    <xf numFmtId="0" fontId="33" fillId="0" borderId="51" xfId="1" applyFont="1" applyBorder="1" applyAlignment="1">
      <alignment horizontal="center" vertical="center" shrinkToFit="1"/>
    </xf>
    <xf numFmtId="0" fontId="10" fillId="3" borderId="10" xfId="1" applyFont="1" applyFill="1" applyBorder="1" applyAlignment="1">
      <alignment horizontal="center" vertical="center" shrinkToFit="1"/>
    </xf>
    <xf numFmtId="0" fontId="37" fillId="0" borderId="0" xfId="1" applyFont="1" applyAlignment="1">
      <alignment horizontal="center" vertical="center" shrinkToFit="1"/>
    </xf>
    <xf numFmtId="0" fontId="10" fillId="22" borderId="10" xfId="1" applyFont="1" applyFill="1" applyBorder="1" applyAlignment="1">
      <alignment horizontal="center" vertical="center" shrinkToFit="1"/>
    </xf>
    <xf numFmtId="0" fontId="21" fillId="52" borderId="10" xfId="1" applyFont="1" applyFill="1" applyBorder="1" applyAlignment="1">
      <alignment horizontal="center" vertical="center" shrinkToFit="1"/>
    </xf>
    <xf numFmtId="0" fontId="16" fillId="53" borderId="10" xfId="1" applyFont="1" applyFill="1" applyBorder="1" applyAlignment="1">
      <alignment horizontal="center" vertical="center" shrinkToFit="1"/>
    </xf>
    <xf numFmtId="0" fontId="16" fillId="52" borderId="10" xfId="1" applyFont="1" applyFill="1" applyBorder="1" applyAlignment="1">
      <alignment horizontal="center" vertical="center" shrinkToFit="1"/>
    </xf>
    <xf numFmtId="0" fontId="10" fillId="52" borderId="10" xfId="1" applyFont="1" applyFill="1" applyBorder="1" applyAlignment="1">
      <alignment horizontal="center" vertical="center" shrinkToFit="1"/>
    </xf>
    <xf numFmtId="0" fontId="10" fillId="32" borderId="28" xfId="1" applyFont="1" applyFill="1" applyBorder="1" applyAlignment="1">
      <alignment horizontal="center" vertical="center" shrinkToFit="1"/>
    </xf>
    <xf numFmtId="0" fontId="10" fillId="21" borderId="21" xfId="1" applyFont="1" applyFill="1" applyBorder="1" applyAlignment="1">
      <alignment horizontal="center" vertical="center" shrinkToFit="1"/>
    </xf>
    <xf numFmtId="0" fontId="10" fillId="21" borderId="24" xfId="1" applyFont="1" applyFill="1" applyBorder="1" applyAlignment="1">
      <alignment horizontal="center" vertical="center" shrinkToFit="1"/>
    </xf>
    <xf numFmtId="0" fontId="10" fillId="29" borderId="23" xfId="1" applyFont="1" applyFill="1" applyBorder="1" applyAlignment="1">
      <alignment horizontal="center" vertical="center" shrinkToFit="1"/>
    </xf>
    <xf numFmtId="56" fontId="5" fillId="0" borderId="4" xfId="1" applyNumberFormat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0" fontId="10" fillId="2" borderId="5" xfId="1" applyFont="1" applyFill="1" applyBorder="1" applyAlignment="1">
      <alignment horizontal="center" vertical="center" shrinkToFit="1"/>
    </xf>
    <xf numFmtId="0" fontId="10" fillId="2" borderId="14" xfId="1" applyFont="1" applyFill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shrinkToFit="1"/>
    </xf>
    <xf numFmtId="0" fontId="10" fillId="2" borderId="9" xfId="1" applyFont="1" applyFill="1" applyBorder="1" applyAlignment="1">
      <alignment horizontal="center" vertical="center" shrinkToFit="1"/>
    </xf>
    <xf numFmtId="0" fontId="10" fillId="0" borderId="4" xfId="1" applyFont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shrinkToFit="1"/>
    </xf>
    <xf numFmtId="56" fontId="10" fillId="0" borderId="4" xfId="1" applyNumberFormat="1" applyFont="1" applyBorder="1" applyAlignment="1">
      <alignment horizontal="center" vertical="center" shrinkToFit="1"/>
    </xf>
    <xf numFmtId="0" fontId="10" fillId="23" borderId="4" xfId="1" applyFont="1" applyFill="1" applyBorder="1" applyAlignment="1">
      <alignment horizontal="center" vertical="center" shrinkToFit="1"/>
    </xf>
    <xf numFmtId="0" fontId="10" fillId="23" borderId="2" xfId="1" applyFont="1" applyFill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31" fillId="0" borderId="12" xfId="0" applyFont="1" applyBorder="1" applyAlignment="1">
      <alignment horizontal="center" vertical="center" shrinkToFit="1"/>
    </xf>
    <xf numFmtId="0" fontId="31" fillId="0" borderId="15" xfId="0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5" fillId="0" borderId="0" xfId="1" applyFont="1" applyAlignment="1">
      <alignment horizontal="left" vertical="center" shrinkToFit="1"/>
    </xf>
    <xf numFmtId="0" fontId="12" fillId="2" borderId="10" xfId="1" applyFont="1" applyFill="1" applyBorder="1" applyAlignment="1">
      <alignment horizontal="center" vertical="center" wrapText="1" shrinkToFit="1"/>
    </xf>
    <xf numFmtId="0" fontId="5" fillId="0" borderId="27" xfId="1" applyFont="1" applyBorder="1" applyAlignment="1">
      <alignment horizontal="center" vertical="center" shrinkToFit="1"/>
    </xf>
    <xf numFmtId="0" fontId="5" fillId="0" borderId="30" xfId="1" applyFont="1" applyBorder="1" applyAlignment="1">
      <alignment horizontal="center" vertical="center" shrinkToFit="1"/>
    </xf>
    <xf numFmtId="0" fontId="5" fillId="0" borderId="31" xfId="1" applyFont="1" applyBorder="1" applyAlignment="1">
      <alignment horizontal="center" vertical="center" shrinkToFit="1"/>
    </xf>
    <xf numFmtId="0" fontId="5" fillId="0" borderId="32" xfId="1" applyFont="1" applyBorder="1" applyAlignment="1">
      <alignment horizontal="center" vertical="center" shrinkToFit="1"/>
    </xf>
    <xf numFmtId="0" fontId="5" fillId="0" borderId="29" xfId="1" applyFont="1" applyBorder="1" applyAlignment="1">
      <alignment horizontal="center" vertical="center" shrinkToFit="1"/>
    </xf>
    <xf numFmtId="0" fontId="5" fillId="0" borderId="20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0" fontId="5" fillId="0" borderId="9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8" xfId="1" applyFont="1" applyBorder="1" applyAlignment="1">
      <alignment horizontal="center" vertical="center" shrinkToFit="1"/>
    </xf>
    <xf numFmtId="0" fontId="10" fillId="2" borderId="4" xfId="1" applyFont="1" applyFill="1" applyBorder="1" applyAlignment="1">
      <alignment horizontal="center" vertical="center" shrinkToFit="1"/>
    </xf>
    <xf numFmtId="0" fontId="10" fillId="2" borderId="3" xfId="1" applyFont="1" applyFill="1" applyBorder="1" applyAlignment="1">
      <alignment horizontal="center" vertical="center" shrinkToFit="1"/>
    </xf>
    <xf numFmtId="0" fontId="10" fillId="26" borderId="4" xfId="1" applyFont="1" applyFill="1" applyBorder="1" applyAlignment="1">
      <alignment horizontal="center" vertical="center" shrinkToFit="1"/>
    </xf>
    <xf numFmtId="0" fontId="10" fillId="26" borderId="2" xfId="1" applyFont="1" applyFill="1" applyBorder="1" applyAlignment="1">
      <alignment horizontal="center" vertical="center" shrinkToFit="1"/>
    </xf>
    <xf numFmtId="0" fontId="10" fillId="0" borderId="4" xfId="1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1" applyFont="1" applyAlignment="1">
      <alignment horizontal="center" vertical="center" shrinkToFit="1"/>
    </xf>
    <xf numFmtId="14" fontId="5" fillId="0" borderId="0" xfId="1" applyNumberFormat="1" applyFont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shrinkToFit="1"/>
    </xf>
    <xf numFmtId="0" fontId="16" fillId="5" borderId="4" xfId="1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10" fillId="2" borderId="39" xfId="1" applyFont="1" applyFill="1" applyBorder="1" applyAlignment="1">
      <alignment horizontal="center" vertical="center" shrinkToFit="1"/>
    </xf>
    <xf numFmtId="0" fontId="39" fillId="0" borderId="11" xfId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36" borderId="4" xfId="1" applyFont="1" applyFill="1" applyBorder="1" applyAlignment="1">
      <alignment horizontal="center" vertical="center" shrinkToFit="1"/>
    </xf>
    <xf numFmtId="0" fontId="10" fillId="36" borderId="2" xfId="1" applyFont="1" applyFill="1" applyBorder="1" applyAlignment="1">
      <alignment horizontal="center" vertical="center" shrinkToFit="1"/>
    </xf>
    <xf numFmtId="0" fontId="28" fillId="36" borderId="4" xfId="1" applyFont="1" applyFill="1" applyBorder="1" applyAlignment="1">
      <alignment horizontal="center" vertical="center" shrinkToFit="1"/>
    </xf>
    <xf numFmtId="0" fontId="28" fillId="36" borderId="2" xfId="1" applyFont="1" applyFill="1" applyBorder="1" applyAlignment="1">
      <alignment horizontal="center" vertical="center" shrinkToFit="1"/>
    </xf>
    <xf numFmtId="0" fontId="9" fillId="0" borderId="4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41" fillId="0" borderId="4" xfId="1" applyFont="1" applyBorder="1" applyAlignment="1">
      <alignment horizontal="center" vertical="center" shrinkToFit="1"/>
    </xf>
    <xf numFmtId="0" fontId="41" fillId="0" borderId="2" xfId="1" applyFont="1" applyBorder="1" applyAlignment="1">
      <alignment horizontal="center" vertical="center" shrinkToFit="1"/>
    </xf>
    <xf numFmtId="0" fontId="5" fillId="0" borderId="27" xfId="1" applyFont="1" applyBorder="1" applyAlignment="1">
      <alignment horizontal="center" vertical="center" wrapText="1" shrinkToFit="1"/>
    </xf>
    <xf numFmtId="0" fontId="5" fillId="0" borderId="21" xfId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shrinkToFit="1"/>
    </xf>
    <xf numFmtId="0" fontId="46" fillId="0" borderId="4" xfId="1" applyFont="1" applyBorder="1" applyAlignment="1">
      <alignment horizontal="center" vertical="center" shrinkToFit="1"/>
    </xf>
    <xf numFmtId="0" fontId="46" fillId="0" borderId="2" xfId="1" applyFont="1" applyBorder="1" applyAlignment="1">
      <alignment horizontal="center" vertical="center" shrinkToFit="1"/>
    </xf>
    <xf numFmtId="0" fontId="43" fillId="0" borderId="7" xfId="1" applyFont="1" applyBorder="1" applyAlignment="1">
      <alignment horizontal="left" vertical="center" shrinkToFit="1"/>
    </xf>
    <xf numFmtId="0" fontId="44" fillId="0" borderId="7" xfId="0" applyFont="1" applyBorder="1" applyAlignment="1">
      <alignment horizontal="left" vertical="center" shrinkToFit="1"/>
    </xf>
    <xf numFmtId="0" fontId="10" fillId="23" borderId="4" xfId="1" applyFont="1" applyFill="1" applyBorder="1" applyAlignment="1">
      <alignment horizontal="center" vertical="center" wrapText="1" shrinkToFit="1"/>
    </xf>
    <xf numFmtId="0" fontId="0" fillId="23" borderId="3" xfId="0" applyFill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0" fillId="2" borderId="21" xfId="1" applyFont="1" applyFill="1" applyBorder="1" applyAlignment="1">
      <alignment horizontal="center" vertical="center" shrinkToFit="1"/>
    </xf>
    <xf numFmtId="0" fontId="10" fillId="2" borderId="10" xfId="1" applyFont="1" applyFill="1" applyBorder="1" applyAlignment="1">
      <alignment horizontal="center" vertical="center" shrinkToFit="1"/>
    </xf>
    <xf numFmtId="56" fontId="10" fillId="0" borderId="5" xfId="1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7" fillId="0" borderId="5" xfId="1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5" fillId="0" borderId="4" xfId="1" applyFont="1" applyBorder="1" applyAlignment="1">
      <alignment horizontal="center" vertical="center" shrinkToFit="1"/>
    </xf>
    <xf numFmtId="0" fontId="45" fillId="0" borderId="2" xfId="1" applyFont="1" applyBorder="1" applyAlignment="1">
      <alignment horizontal="center" vertical="center" shrinkToFit="1"/>
    </xf>
    <xf numFmtId="0" fontId="9" fillId="2" borderId="4" xfId="1" applyFont="1" applyFill="1" applyBorder="1" applyAlignment="1">
      <alignment horizontal="center" vertical="center" shrinkToFit="1"/>
    </xf>
    <xf numFmtId="0" fontId="9" fillId="2" borderId="2" xfId="1" applyFont="1" applyFill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40" xfId="1" applyFont="1" applyBorder="1" applyAlignment="1">
      <alignment horizontal="center" vertical="center" shrinkToFit="1"/>
    </xf>
    <xf numFmtId="0" fontId="9" fillId="0" borderId="24" xfId="1" applyFont="1" applyBorder="1" applyAlignment="1">
      <alignment horizontal="center" vertical="center" shrinkToFit="1"/>
    </xf>
    <xf numFmtId="0" fontId="9" fillId="0" borderId="40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shrinkToFit="1"/>
    </xf>
    <xf numFmtId="0" fontId="5" fillId="0" borderId="24" xfId="1" applyFont="1" applyBorder="1" applyAlignment="1">
      <alignment horizontal="center" vertical="center" shrinkToFit="1"/>
    </xf>
    <xf numFmtId="0" fontId="5" fillId="0" borderId="11" xfId="1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5" fillId="0" borderId="11" xfId="1" applyFont="1" applyBorder="1">
      <alignment vertical="center"/>
    </xf>
    <xf numFmtId="0" fontId="0" fillId="0" borderId="15" xfId="0" applyBorder="1">
      <alignment vertical="center"/>
    </xf>
    <xf numFmtId="0" fontId="49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5" fillId="0" borderId="5" xfId="1" applyFont="1" applyBorder="1">
      <alignment vertical="center"/>
    </xf>
    <xf numFmtId="0" fontId="0" fillId="0" borderId="1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0" fillId="0" borderId="3" xfId="1" applyFont="1" applyBorder="1" applyAlignment="1">
      <alignment horizontal="center" vertical="center" shrinkToFit="1"/>
    </xf>
    <xf numFmtId="0" fontId="10" fillId="0" borderId="39" xfId="1" applyFont="1" applyBorder="1" applyAlignment="1">
      <alignment horizontal="center" vertical="center" shrinkToFit="1"/>
    </xf>
    <xf numFmtId="0" fontId="10" fillId="0" borderId="21" xfId="1" applyFont="1" applyBorder="1" applyAlignment="1">
      <alignment horizontal="center" vertical="center" shrinkToFit="1"/>
    </xf>
    <xf numFmtId="0" fontId="9" fillId="0" borderId="44" xfId="1" applyFont="1" applyBorder="1" applyAlignment="1">
      <alignment horizontal="center" vertical="center" shrinkToFit="1"/>
    </xf>
    <xf numFmtId="0" fontId="9" fillId="0" borderId="3" xfId="1" applyFont="1" applyBorder="1" applyAlignment="1">
      <alignment horizontal="center" vertical="center" shrinkToFit="1"/>
    </xf>
    <xf numFmtId="0" fontId="10" fillId="0" borderId="44" xfId="1" applyFont="1" applyBorder="1" applyAlignment="1">
      <alignment horizontal="center" vertical="center" shrinkToFit="1"/>
    </xf>
    <xf numFmtId="0" fontId="41" fillId="0" borderId="44" xfId="1" applyFont="1" applyBorder="1" applyAlignment="1">
      <alignment horizontal="center" vertical="center" shrinkToFit="1"/>
    </xf>
    <xf numFmtId="0" fontId="9" fillId="0" borderId="39" xfId="1" applyFont="1" applyBorder="1" applyAlignment="1">
      <alignment horizontal="center" vertical="center" shrinkToFit="1"/>
    </xf>
    <xf numFmtId="0" fontId="9" fillId="0" borderId="21" xfId="1" applyFont="1" applyBorder="1" applyAlignment="1">
      <alignment horizontal="center" vertical="center" shrinkToFit="1"/>
    </xf>
    <xf numFmtId="0" fontId="37" fillId="0" borderId="4" xfId="1" applyFont="1" applyBorder="1" applyAlignment="1">
      <alignment horizontal="center" vertical="center" shrinkToFit="1"/>
    </xf>
    <xf numFmtId="0" fontId="37" fillId="0" borderId="2" xfId="1" applyFont="1" applyBorder="1" applyAlignment="1">
      <alignment horizontal="center" vertical="center" shrinkToFit="1"/>
    </xf>
    <xf numFmtId="0" fontId="28" fillId="0" borderId="49" xfId="1" applyFont="1" applyBorder="1" applyAlignment="1">
      <alignment horizontal="left" vertical="center" shrinkToFit="1"/>
    </xf>
    <xf numFmtId="0" fontId="0" fillId="0" borderId="51" xfId="0" applyBorder="1" applyAlignment="1">
      <alignment horizontal="left" vertical="center" shrinkToFit="1"/>
    </xf>
    <xf numFmtId="0" fontId="6" fillId="27" borderId="7" xfId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5" fillId="0" borderId="4" xfId="1" applyFont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 shrinkToFit="1"/>
    </xf>
    <xf numFmtId="0" fontId="9" fillId="0" borderId="10" xfId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F20ED5"/>
      <color rgb="FF21A0FF"/>
      <color rgb="FFFFCCFF"/>
      <color rgb="FFFF1919"/>
      <color rgb="FF008FFA"/>
      <color rgb="FFE60000"/>
      <color rgb="FFDCF0C6"/>
      <color rgb="FFB8E08C"/>
      <color rgb="FF92D050"/>
      <color rgb="FF36CA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3B34-2FDA-4B4F-A90E-3B2BDFE63874}">
  <sheetPr>
    <pageSetUpPr fitToPage="1"/>
  </sheetPr>
  <dimension ref="A1:AT77"/>
  <sheetViews>
    <sheetView topLeftCell="A24" workbookViewId="0">
      <selection activeCell="O58" sqref="O58"/>
    </sheetView>
  </sheetViews>
  <sheetFormatPr defaultColWidth="8.69921875" defaultRowHeight="15" outlineLevelRow="1"/>
  <cols>
    <col min="1" max="1" width="4.19921875" style="1" bestFit="1" customWidth="1"/>
    <col min="2" max="3" width="5.19921875" style="1" customWidth="1"/>
    <col min="4" max="6" width="9.69921875" style="1" customWidth="1"/>
    <col min="7" max="7" width="10.19921875" style="1" bestFit="1" customWidth="1"/>
    <col min="8" max="8" width="10.69921875" style="1" customWidth="1"/>
    <col min="9" max="9" width="12.59765625" style="1" bestFit="1" customWidth="1"/>
    <col min="10" max="44" width="5.19921875" style="1" customWidth="1"/>
    <col min="45" max="45" width="5.69921875" style="1" customWidth="1"/>
    <col min="46" max="46" width="5.19921875" style="1" customWidth="1"/>
    <col min="47" max="16384" width="8.69921875" style="1"/>
  </cols>
  <sheetData>
    <row r="1" spans="1:46" ht="18.600000000000001">
      <c r="A1" s="320" t="s">
        <v>112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</row>
    <row r="2" spans="1:46" ht="15" customHeight="1">
      <c r="A2" s="2"/>
      <c r="J2" s="42"/>
      <c r="K2" s="42"/>
      <c r="L2" s="42"/>
      <c r="M2" s="42"/>
      <c r="W2" s="5"/>
      <c r="X2" s="5"/>
      <c r="Y2" s="5"/>
      <c r="Z2" s="5"/>
      <c r="AA2" s="5"/>
      <c r="AB2" s="5"/>
      <c r="AC2" s="5"/>
      <c r="AO2" s="321">
        <f ca="1">TODAY()</f>
        <v>46177</v>
      </c>
      <c r="AP2" s="321"/>
      <c r="AQ2" s="321"/>
    </row>
    <row r="3" spans="1:46" ht="19.95" customHeight="1">
      <c r="A3" s="51" t="s">
        <v>53</v>
      </c>
      <c r="E3" s="2"/>
      <c r="F3" s="12"/>
      <c r="G3" s="12"/>
      <c r="H3" s="12"/>
      <c r="I3" s="12"/>
      <c r="J3" s="5">
        <f>COUNTA(J6:J57)*0.5</f>
        <v>12</v>
      </c>
      <c r="K3" s="5"/>
      <c r="L3" s="5">
        <f t="shared" ref="L3:AQ3" si="0">COUNTA(L6:L57)*0.5</f>
        <v>5.5</v>
      </c>
      <c r="M3" s="5">
        <f t="shared" si="0"/>
        <v>5</v>
      </c>
      <c r="N3" s="5">
        <f t="shared" si="0"/>
        <v>3</v>
      </c>
      <c r="O3" s="5">
        <f t="shared" si="0"/>
        <v>4</v>
      </c>
      <c r="P3" s="5">
        <f t="shared" si="0"/>
        <v>5</v>
      </c>
      <c r="Q3" s="5">
        <f t="shared" si="0"/>
        <v>9</v>
      </c>
      <c r="R3" s="5">
        <f t="shared" si="0"/>
        <v>9</v>
      </c>
      <c r="S3" s="5">
        <f t="shared" si="0"/>
        <v>9</v>
      </c>
      <c r="T3" s="5">
        <f t="shared" si="0"/>
        <v>3</v>
      </c>
      <c r="U3" s="5">
        <f t="shared" si="0"/>
        <v>3</v>
      </c>
      <c r="V3" s="5">
        <f t="shared" si="0"/>
        <v>4</v>
      </c>
      <c r="W3" s="5">
        <f t="shared" si="0"/>
        <v>3.5</v>
      </c>
      <c r="X3" s="5">
        <f t="shared" si="0"/>
        <v>7</v>
      </c>
      <c r="Y3" s="5">
        <f t="shared" si="0"/>
        <v>5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0.5</v>
      </c>
      <c r="AE3" s="5">
        <f t="shared" si="0"/>
        <v>4</v>
      </c>
      <c r="AF3" s="5">
        <f t="shared" si="0"/>
        <v>4</v>
      </c>
      <c r="AG3" s="5">
        <f t="shared" si="0"/>
        <v>1.5</v>
      </c>
      <c r="AH3" s="5">
        <f t="shared" si="0"/>
        <v>2</v>
      </c>
      <c r="AI3" s="5">
        <f t="shared" si="0"/>
        <v>4</v>
      </c>
      <c r="AJ3" s="5">
        <f t="shared" si="0"/>
        <v>4</v>
      </c>
      <c r="AK3" s="5">
        <f t="shared" si="0"/>
        <v>4</v>
      </c>
      <c r="AL3" s="5">
        <f t="shared" si="0"/>
        <v>4</v>
      </c>
      <c r="AM3" s="5">
        <f t="shared" si="0"/>
        <v>4</v>
      </c>
      <c r="AN3" s="5">
        <f t="shared" si="0"/>
        <v>2</v>
      </c>
      <c r="AO3" s="5">
        <f t="shared" si="0"/>
        <v>1</v>
      </c>
      <c r="AP3" s="5">
        <f t="shared" si="0"/>
        <v>1.5</v>
      </c>
      <c r="AQ3" s="5">
        <f t="shared" si="0"/>
        <v>2</v>
      </c>
    </row>
    <row r="4" spans="1:46" ht="15" customHeight="1">
      <c r="A4" s="322" t="s">
        <v>0</v>
      </c>
      <c r="B4" s="322" t="s">
        <v>1</v>
      </c>
      <c r="C4" s="322" t="s">
        <v>2</v>
      </c>
      <c r="D4" s="322" t="s">
        <v>3</v>
      </c>
      <c r="E4" s="322" t="s">
        <v>4</v>
      </c>
      <c r="F4" s="322" t="s">
        <v>44</v>
      </c>
      <c r="G4" s="322" t="s">
        <v>5</v>
      </c>
      <c r="H4" s="322" t="s">
        <v>6</v>
      </c>
      <c r="I4" s="322" t="s">
        <v>7</v>
      </c>
      <c r="J4" s="9">
        <v>14</v>
      </c>
      <c r="K4" s="56">
        <f t="shared" ref="K4:Z4" si="1">J4+1</f>
        <v>15</v>
      </c>
      <c r="L4" s="70">
        <f t="shared" si="1"/>
        <v>16</v>
      </c>
      <c r="M4" s="70">
        <f t="shared" si="1"/>
        <v>17</v>
      </c>
      <c r="N4" s="9">
        <f t="shared" si="1"/>
        <v>18</v>
      </c>
      <c r="O4" s="9">
        <f t="shared" si="1"/>
        <v>19</v>
      </c>
      <c r="P4" s="9">
        <f t="shared" si="1"/>
        <v>20</v>
      </c>
      <c r="Q4" s="9">
        <f t="shared" si="1"/>
        <v>21</v>
      </c>
      <c r="R4" s="9">
        <f t="shared" si="1"/>
        <v>22</v>
      </c>
      <c r="S4" s="9">
        <f t="shared" si="1"/>
        <v>23</v>
      </c>
      <c r="T4" s="9">
        <f t="shared" si="1"/>
        <v>24</v>
      </c>
      <c r="U4" s="9">
        <f t="shared" si="1"/>
        <v>25</v>
      </c>
      <c r="V4" s="9">
        <f t="shared" si="1"/>
        <v>26</v>
      </c>
      <c r="W4" s="9">
        <f t="shared" si="1"/>
        <v>27</v>
      </c>
      <c r="X4" s="9">
        <f t="shared" si="1"/>
        <v>28</v>
      </c>
      <c r="Y4" s="9">
        <v>1</v>
      </c>
      <c r="Z4" s="9">
        <f t="shared" si="1"/>
        <v>2</v>
      </c>
      <c r="AA4" s="9">
        <f t="shared" ref="AA4" si="2">Z4+1</f>
        <v>3</v>
      </c>
      <c r="AB4" s="9">
        <f t="shared" ref="AB4" si="3">AA4+1</f>
        <v>4</v>
      </c>
      <c r="AC4" s="9">
        <f t="shared" ref="AC4" si="4">AB4+1</f>
        <v>5</v>
      </c>
      <c r="AD4" s="9">
        <f t="shared" ref="AD4" si="5">AC4+1</f>
        <v>6</v>
      </c>
      <c r="AE4" s="9">
        <f t="shared" ref="AE4" si="6">AD4+1</f>
        <v>7</v>
      </c>
      <c r="AF4" s="9">
        <f t="shared" ref="AF4" si="7">AE4+1</f>
        <v>8</v>
      </c>
      <c r="AG4" s="9">
        <f t="shared" ref="AG4" si="8">AF4+1</f>
        <v>9</v>
      </c>
      <c r="AH4" s="13">
        <f t="shared" ref="AH4" si="9">AG4+1</f>
        <v>10</v>
      </c>
      <c r="AI4" s="13">
        <f t="shared" ref="AI4" si="10">AH4+1</f>
        <v>11</v>
      </c>
      <c r="AJ4" s="13">
        <f t="shared" ref="AJ4" si="11">AI4+1</f>
        <v>12</v>
      </c>
      <c r="AK4" s="9">
        <f t="shared" ref="AK4" si="12">AJ4+1</f>
        <v>13</v>
      </c>
      <c r="AL4" s="9">
        <f t="shared" ref="AL4" si="13">AK4+1</f>
        <v>14</v>
      </c>
      <c r="AM4" s="9">
        <f t="shared" ref="AM4" si="14">AL4+1</f>
        <v>15</v>
      </c>
      <c r="AN4" s="9">
        <f t="shared" ref="AN4" si="15">AM4+1</f>
        <v>16</v>
      </c>
      <c r="AO4" s="56">
        <f t="shared" ref="AO4" si="16">AN4+1</f>
        <v>17</v>
      </c>
      <c r="AP4" s="57">
        <f t="shared" ref="AP4" si="17">AO4+1</f>
        <v>18</v>
      </c>
      <c r="AQ4" s="70">
        <f>AP4+1</f>
        <v>19</v>
      </c>
      <c r="AR4" s="111">
        <f>AQ4+1</f>
        <v>20</v>
      </c>
      <c r="AS4" s="112"/>
      <c r="AT4" s="112"/>
    </row>
    <row r="5" spans="1:46" ht="15" customHeight="1">
      <c r="A5" s="322"/>
      <c r="B5" s="322"/>
      <c r="C5" s="322"/>
      <c r="D5" s="322"/>
      <c r="E5" s="322"/>
      <c r="F5" s="322"/>
      <c r="G5" s="322"/>
      <c r="H5" s="322"/>
      <c r="I5" s="323"/>
      <c r="J5" s="31" t="s">
        <v>28</v>
      </c>
      <c r="K5" s="71" t="s">
        <v>29</v>
      </c>
      <c r="L5" s="59" t="s">
        <v>30</v>
      </c>
      <c r="M5" s="30" t="s">
        <v>31</v>
      </c>
      <c r="N5" s="30" t="s">
        <v>32</v>
      </c>
      <c r="O5" s="30" t="s">
        <v>33</v>
      </c>
      <c r="P5" s="30" t="s">
        <v>34</v>
      </c>
      <c r="Q5" s="31" t="s">
        <v>28</v>
      </c>
      <c r="R5" s="32" t="s">
        <v>29</v>
      </c>
      <c r="S5" s="32" t="s">
        <v>12</v>
      </c>
      <c r="T5" s="30" t="s">
        <v>31</v>
      </c>
      <c r="U5" s="30" t="s">
        <v>32</v>
      </c>
      <c r="V5" s="30" t="s">
        <v>33</v>
      </c>
      <c r="W5" s="30" t="s">
        <v>34</v>
      </c>
      <c r="X5" s="31" t="s">
        <v>28</v>
      </c>
      <c r="Y5" s="32" t="s">
        <v>29</v>
      </c>
      <c r="Z5" s="30" t="s">
        <v>30</v>
      </c>
      <c r="AA5" s="30" t="s">
        <v>31</v>
      </c>
      <c r="AB5" s="30" t="s">
        <v>32</v>
      </c>
      <c r="AC5" s="30" t="s">
        <v>33</v>
      </c>
      <c r="AD5" s="30" t="s">
        <v>34</v>
      </c>
      <c r="AE5" s="31" t="s">
        <v>28</v>
      </c>
      <c r="AF5" s="32" t="s">
        <v>29</v>
      </c>
      <c r="AG5" s="30" t="s">
        <v>30</v>
      </c>
      <c r="AH5" s="30" t="s">
        <v>31</v>
      </c>
      <c r="AI5" s="30" t="s">
        <v>32</v>
      </c>
      <c r="AJ5" s="30" t="s">
        <v>33</v>
      </c>
      <c r="AK5" s="30" t="s">
        <v>34</v>
      </c>
      <c r="AL5" s="31" t="s">
        <v>28</v>
      </c>
      <c r="AM5" s="32" t="s">
        <v>29</v>
      </c>
      <c r="AN5" s="30" t="s">
        <v>30</v>
      </c>
      <c r="AO5" s="58" t="s">
        <v>31</v>
      </c>
      <c r="AP5" s="59" t="s">
        <v>32</v>
      </c>
      <c r="AQ5" s="30" t="s">
        <v>33</v>
      </c>
      <c r="AR5" s="32" t="s">
        <v>34</v>
      </c>
    </row>
    <row r="6" spans="1:46">
      <c r="A6" s="292">
        <v>67</v>
      </c>
      <c r="B6" s="292">
        <v>2</v>
      </c>
      <c r="C6" s="292">
        <v>4</v>
      </c>
      <c r="D6" s="292"/>
      <c r="E6" s="292"/>
      <c r="F6" s="292"/>
      <c r="G6" s="292">
        <v>20252468</v>
      </c>
      <c r="H6" s="292" t="s">
        <v>99</v>
      </c>
      <c r="I6" s="292" t="s">
        <v>106</v>
      </c>
      <c r="J6" s="11"/>
      <c r="K6" s="61"/>
      <c r="L6" s="60"/>
      <c r="M6" s="1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61"/>
      <c r="AP6" s="60"/>
      <c r="AQ6" s="62"/>
      <c r="AR6" s="18"/>
    </row>
    <row r="7" spans="1:46">
      <c r="A7" s="293"/>
      <c r="B7" s="293"/>
      <c r="C7" s="293"/>
      <c r="D7" s="293"/>
      <c r="E7" s="293"/>
      <c r="F7" s="293"/>
      <c r="G7" s="293"/>
      <c r="H7" s="293"/>
      <c r="I7" s="293"/>
      <c r="J7" s="11"/>
      <c r="K7" s="10"/>
      <c r="L7" s="6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61"/>
      <c r="AP7" s="60"/>
      <c r="AQ7" s="62"/>
      <c r="AR7" s="18"/>
    </row>
    <row r="8" spans="1:46">
      <c r="A8" s="292">
        <v>68</v>
      </c>
      <c r="B8" s="292">
        <v>3</v>
      </c>
      <c r="C8" s="292">
        <v>5</v>
      </c>
      <c r="D8" s="292"/>
      <c r="E8" s="294">
        <v>46072</v>
      </c>
      <c r="F8" s="292"/>
      <c r="G8" s="292">
        <v>20252470</v>
      </c>
      <c r="H8" s="292" t="s">
        <v>100</v>
      </c>
      <c r="I8" s="292" t="s">
        <v>105</v>
      </c>
      <c r="J8" s="62" t="s">
        <v>11</v>
      </c>
      <c r="K8" s="67" t="s">
        <v>78</v>
      </c>
      <c r="L8" s="60" t="s">
        <v>11</v>
      </c>
      <c r="M8" s="28" t="s">
        <v>78</v>
      </c>
      <c r="N8" s="28" t="s">
        <v>78</v>
      </c>
      <c r="O8" s="22" t="s">
        <v>8</v>
      </c>
      <c r="P8" s="11"/>
      <c r="Q8" s="109"/>
      <c r="R8" s="11"/>
      <c r="S8" s="11"/>
      <c r="T8" s="11"/>
      <c r="U8" s="11"/>
      <c r="V8" s="109"/>
      <c r="W8" s="11"/>
      <c r="X8" s="11"/>
      <c r="Y8" s="11"/>
      <c r="Z8" s="11"/>
      <c r="AA8" s="109"/>
      <c r="AB8" s="11"/>
      <c r="AC8" s="11"/>
      <c r="AD8" s="11"/>
      <c r="AE8" s="11"/>
      <c r="AF8" s="109"/>
      <c r="AG8" s="11"/>
      <c r="AH8" s="11"/>
      <c r="AI8" s="11"/>
      <c r="AJ8" s="11"/>
      <c r="AK8" s="109"/>
      <c r="AL8" s="11"/>
      <c r="AM8" s="11"/>
      <c r="AN8" s="11"/>
      <c r="AO8" s="61"/>
      <c r="AP8" s="60"/>
      <c r="AQ8" s="62"/>
      <c r="AR8" s="18"/>
    </row>
    <row r="9" spans="1:46">
      <c r="A9" s="293"/>
      <c r="B9" s="293"/>
      <c r="C9" s="293"/>
      <c r="D9" s="293"/>
      <c r="E9" s="293"/>
      <c r="F9" s="293"/>
      <c r="G9" s="293"/>
      <c r="H9" s="293"/>
      <c r="I9" s="293"/>
      <c r="J9" s="62" t="s">
        <v>11</v>
      </c>
      <c r="K9" s="67" t="s">
        <v>78</v>
      </c>
      <c r="L9" s="60" t="s">
        <v>11</v>
      </c>
      <c r="M9" s="28" t="s">
        <v>78</v>
      </c>
      <c r="N9" s="28" t="s">
        <v>78</v>
      </c>
      <c r="O9" s="34" t="s">
        <v>91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61"/>
      <c r="AP9" s="60"/>
      <c r="AQ9" s="62"/>
      <c r="AR9" s="18"/>
    </row>
    <row r="10" spans="1:46">
      <c r="A10" s="292">
        <v>69</v>
      </c>
      <c r="B10" s="292">
        <v>4</v>
      </c>
      <c r="C10" s="292">
        <v>8</v>
      </c>
      <c r="D10" s="292"/>
      <c r="E10" s="292"/>
      <c r="F10" s="292"/>
      <c r="G10" s="292">
        <v>20252474</v>
      </c>
      <c r="H10" s="292" t="s">
        <v>101</v>
      </c>
      <c r="I10" s="292" t="s">
        <v>104</v>
      </c>
      <c r="J10" s="11"/>
      <c r="K10" s="61"/>
      <c r="L10" s="60" t="s">
        <v>11</v>
      </c>
      <c r="M10" s="1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61"/>
      <c r="AP10" s="60"/>
      <c r="AQ10" s="62"/>
      <c r="AR10" s="18"/>
    </row>
    <row r="11" spans="1:46">
      <c r="A11" s="293"/>
      <c r="B11" s="293"/>
      <c r="C11" s="293"/>
      <c r="D11" s="293"/>
      <c r="E11" s="293"/>
      <c r="F11" s="293"/>
      <c r="G11" s="293"/>
      <c r="H11" s="293"/>
      <c r="I11" s="293"/>
      <c r="J11" s="11"/>
      <c r="K11" s="10"/>
      <c r="L11" s="60" t="s">
        <v>11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61"/>
      <c r="AP11" s="60"/>
      <c r="AQ11" s="62"/>
      <c r="AR11" s="18"/>
    </row>
    <row r="12" spans="1:46">
      <c r="A12" s="292">
        <v>70</v>
      </c>
      <c r="B12" s="292">
        <v>1</v>
      </c>
      <c r="C12" s="292">
        <v>2</v>
      </c>
      <c r="D12" s="292"/>
      <c r="E12" s="292"/>
      <c r="F12" s="292"/>
      <c r="G12" s="292">
        <v>20252477</v>
      </c>
      <c r="H12" s="292" t="s">
        <v>102</v>
      </c>
      <c r="I12" s="292" t="s">
        <v>107</v>
      </c>
      <c r="J12" s="11"/>
      <c r="K12" s="61"/>
      <c r="L12" s="60" t="s">
        <v>11</v>
      </c>
      <c r="M12" s="18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61"/>
      <c r="AP12" s="60"/>
      <c r="AQ12" s="62"/>
      <c r="AR12" s="18"/>
    </row>
    <row r="13" spans="1:46">
      <c r="A13" s="293"/>
      <c r="B13" s="293"/>
      <c r="C13" s="293"/>
      <c r="D13" s="293"/>
      <c r="E13" s="293"/>
      <c r="F13" s="293"/>
      <c r="G13" s="293"/>
      <c r="H13" s="293"/>
      <c r="I13" s="293"/>
      <c r="J13" s="11"/>
      <c r="K13" s="10"/>
      <c r="L13" s="60" t="s">
        <v>11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61"/>
      <c r="AP13" s="60"/>
      <c r="AQ13" s="62"/>
      <c r="AR13" s="18"/>
    </row>
    <row r="14" spans="1:46">
      <c r="A14" s="292">
        <v>71</v>
      </c>
      <c r="B14" s="292">
        <v>2</v>
      </c>
      <c r="C14" s="292">
        <v>4</v>
      </c>
      <c r="D14" s="292"/>
      <c r="E14" s="286">
        <v>46070</v>
      </c>
      <c r="F14" s="292"/>
      <c r="G14" s="292">
        <v>20252483</v>
      </c>
      <c r="H14" s="292" t="s">
        <v>108</v>
      </c>
      <c r="I14" s="292" t="s">
        <v>110</v>
      </c>
      <c r="J14" s="62" t="s">
        <v>11</v>
      </c>
      <c r="K14" s="67" t="s">
        <v>78</v>
      </c>
      <c r="L14" s="60" t="s">
        <v>11</v>
      </c>
      <c r="M14" s="22" t="s">
        <v>8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61"/>
      <c r="AP14" s="60"/>
      <c r="AQ14" s="62"/>
      <c r="AR14" s="18"/>
    </row>
    <row r="15" spans="1:46">
      <c r="A15" s="293"/>
      <c r="B15" s="293"/>
      <c r="C15" s="293"/>
      <c r="D15" s="293"/>
      <c r="E15" s="287"/>
      <c r="F15" s="293"/>
      <c r="G15" s="293"/>
      <c r="H15" s="293"/>
      <c r="I15" s="293"/>
      <c r="J15" s="62" t="s">
        <v>11</v>
      </c>
      <c r="K15" s="67" t="s">
        <v>78</v>
      </c>
      <c r="L15" s="60" t="s">
        <v>11</v>
      </c>
      <c r="M15" s="34" t="s">
        <v>70</v>
      </c>
      <c r="N15" s="11"/>
      <c r="O15" s="11"/>
      <c r="P15" s="69">
        <v>0.375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61"/>
      <c r="AP15" s="60"/>
      <c r="AQ15" s="62"/>
      <c r="AR15" s="18"/>
    </row>
    <row r="16" spans="1:46">
      <c r="A16" s="292">
        <v>72</v>
      </c>
      <c r="B16" s="292">
        <v>3</v>
      </c>
      <c r="C16" s="292">
        <v>5</v>
      </c>
      <c r="D16" s="292"/>
      <c r="E16" s="292"/>
      <c r="F16" s="292"/>
      <c r="G16" s="292">
        <v>20252485</v>
      </c>
      <c r="H16" s="292" t="s">
        <v>109</v>
      </c>
      <c r="I16" s="292" t="s">
        <v>111</v>
      </c>
      <c r="J16" s="11"/>
      <c r="K16" s="61"/>
      <c r="L16" s="60"/>
      <c r="M16" s="18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61"/>
      <c r="AP16" s="60"/>
      <c r="AQ16" s="62"/>
      <c r="AR16" s="72"/>
    </row>
    <row r="17" spans="1:44" ht="15.6" thickBot="1">
      <c r="A17" s="293"/>
      <c r="B17" s="293"/>
      <c r="C17" s="293"/>
      <c r="D17" s="293"/>
      <c r="E17" s="293"/>
      <c r="F17" s="293"/>
      <c r="G17" s="293"/>
      <c r="H17" s="293"/>
      <c r="I17" s="293"/>
      <c r="J17" s="11"/>
      <c r="K17" s="10"/>
      <c r="L17" s="6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61"/>
      <c r="AP17" s="60"/>
      <c r="AQ17" s="62"/>
      <c r="AR17" s="18"/>
    </row>
    <row r="18" spans="1:44" ht="15.6" thickTop="1">
      <c r="A18" s="292">
        <v>73</v>
      </c>
      <c r="B18" s="292">
        <v>1</v>
      </c>
      <c r="C18" s="292">
        <v>2</v>
      </c>
      <c r="D18" s="294">
        <v>46069</v>
      </c>
      <c r="E18" s="294">
        <v>46076</v>
      </c>
      <c r="F18" s="292">
        <v>881</v>
      </c>
      <c r="G18" s="292">
        <v>20262011</v>
      </c>
      <c r="H18" s="292" t="s">
        <v>117</v>
      </c>
      <c r="I18" s="292" t="s">
        <v>124</v>
      </c>
      <c r="J18" s="62" t="s">
        <v>11</v>
      </c>
      <c r="K18" s="61" t="s">
        <v>11</v>
      </c>
      <c r="L18" s="108"/>
      <c r="M18" s="38" t="s">
        <v>47</v>
      </c>
      <c r="N18" s="28" t="s">
        <v>78</v>
      </c>
      <c r="O18" s="28" t="s">
        <v>78</v>
      </c>
      <c r="P18" s="28" t="s">
        <v>78</v>
      </c>
      <c r="Q18" s="94" t="s">
        <v>16</v>
      </c>
      <c r="R18" s="62" t="s">
        <v>11</v>
      </c>
      <c r="S18" s="22" t="s">
        <v>8</v>
      </c>
      <c r="T18" s="11"/>
      <c r="U18" s="4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61"/>
      <c r="AP18" s="60"/>
      <c r="AQ18" s="62"/>
      <c r="AR18" s="72"/>
    </row>
    <row r="19" spans="1:44">
      <c r="A19" s="293"/>
      <c r="B19" s="293"/>
      <c r="C19" s="293"/>
      <c r="D19" s="293"/>
      <c r="E19" s="293"/>
      <c r="F19" s="293"/>
      <c r="G19" s="293"/>
      <c r="H19" s="293"/>
      <c r="I19" s="293"/>
      <c r="J19" s="62" t="s">
        <v>11</v>
      </c>
      <c r="K19" s="61" t="s">
        <v>11</v>
      </c>
      <c r="L19" s="108" t="s">
        <v>37</v>
      </c>
      <c r="M19" s="25" t="s">
        <v>15</v>
      </c>
      <c r="N19" s="28" t="s">
        <v>78</v>
      </c>
      <c r="O19" s="48" t="s">
        <v>50</v>
      </c>
      <c r="P19" s="28" t="s">
        <v>78</v>
      </c>
      <c r="Q19" s="20" t="s">
        <v>13</v>
      </c>
      <c r="R19" s="62" t="s">
        <v>11</v>
      </c>
      <c r="S19" s="34" t="s">
        <v>43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61"/>
      <c r="AP19" s="60"/>
      <c r="AQ19" s="62"/>
      <c r="AR19" s="18"/>
    </row>
    <row r="20" spans="1:44">
      <c r="A20" s="292">
        <v>74</v>
      </c>
      <c r="B20" s="292">
        <v>2</v>
      </c>
      <c r="C20" s="292">
        <v>3</v>
      </c>
      <c r="D20" s="294">
        <v>46059</v>
      </c>
      <c r="E20" s="294">
        <v>46068</v>
      </c>
      <c r="F20" s="292">
        <v>751</v>
      </c>
      <c r="G20" s="292">
        <v>20262017</v>
      </c>
      <c r="H20" s="292" t="s">
        <v>116</v>
      </c>
      <c r="I20" s="292" t="s">
        <v>123</v>
      </c>
      <c r="J20" s="15" t="s">
        <v>16</v>
      </c>
      <c r="K20" s="22" t="s">
        <v>8</v>
      </c>
      <c r="L20" s="6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61"/>
      <c r="AP20" s="60"/>
      <c r="AQ20" s="62"/>
      <c r="AR20" s="18"/>
    </row>
    <row r="21" spans="1:44" ht="15.6" thickBot="1">
      <c r="A21" s="293"/>
      <c r="B21" s="293"/>
      <c r="C21" s="293"/>
      <c r="D21" s="293"/>
      <c r="E21" s="293"/>
      <c r="F21" s="293"/>
      <c r="G21" s="293"/>
      <c r="H21" s="293"/>
      <c r="I21" s="293"/>
      <c r="J21" s="20" t="s">
        <v>13</v>
      </c>
      <c r="K21" s="34" t="s">
        <v>132</v>
      </c>
      <c r="L21" s="6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61"/>
      <c r="AP21" s="60"/>
      <c r="AQ21" s="62"/>
      <c r="AR21" s="18"/>
    </row>
    <row r="22" spans="1:44" ht="15.6" thickTop="1">
      <c r="A22" s="292">
        <v>75</v>
      </c>
      <c r="B22" s="292">
        <v>4</v>
      </c>
      <c r="C22" s="292">
        <v>8</v>
      </c>
      <c r="D22" s="294">
        <v>46066</v>
      </c>
      <c r="E22" s="294">
        <v>46076</v>
      </c>
      <c r="F22" s="292">
        <v>543</v>
      </c>
      <c r="G22" s="292">
        <v>20262001</v>
      </c>
      <c r="H22" s="292" t="s">
        <v>118</v>
      </c>
      <c r="I22" s="292" t="s">
        <v>122</v>
      </c>
      <c r="J22" s="62" t="s">
        <v>11</v>
      </c>
      <c r="K22" s="61" t="s">
        <v>11</v>
      </c>
      <c r="L22" s="60" t="s">
        <v>11</v>
      </c>
      <c r="M22" s="38" t="s">
        <v>47</v>
      </c>
      <c r="N22" s="28" t="s">
        <v>78</v>
      </c>
      <c r="O22" s="28" t="s">
        <v>78</v>
      </c>
      <c r="P22" s="28" t="s">
        <v>78</v>
      </c>
      <c r="Q22" s="94" t="s">
        <v>16</v>
      </c>
      <c r="R22" s="100" t="s">
        <v>11</v>
      </c>
      <c r="S22" s="22" t="s">
        <v>8</v>
      </c>
      <c r="T22" s="47"/>
      <c r="U22" s="4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 t="s">
        <v>11</v>
      </c>
      <c r="AJ22" s="11"/>
      <c r="AK22" s="11" t="s">
        <v>11</v>
      </c>
      <c r="AL22" s="11"/>
      <c r="AM22" s="11"/>
      <c r="AN22" s="11"/>
      <c r="AO22" s="61"/>
      <c r="AP22" s="60"/>
      <c r="AQ22" s="62"/>
      <c r="AR22" s="18"/>
    </row>
    <row r="23" spans="1:44" ht="15.6" thickBot="1">
      <c r="A23" s="293"/>
      <c r="B23" s="293"/>
      <c r="C23" s="293"/>
      <c r="D23" s="293"/>
      <c r="E23" s="293"/>
      <c r="F23" s="293"/>
      <c r="G23" s="293"/>
      <c r="H23" s="293"/>
      <c r="I23" s="293"/>
      <c r="J23" s="62" t="s">
        <v>11</v>
      </c>
      <c r="K23" s="61" t="s">
        <v>11</v>
      </c>
      <c r="L23" s="60" t="s">
        <v>11</v>
      </c>
      <c r="M23" s="25" t="s">
        <v>15</v>
      </c>
      <c r="N23" s="28" t="s">
        <v>78</v>
      </c>
      <c r="O23" s="48" t="s">
        <v>50</v>
      </c>
      <c r="P23" s="28" t="s">
        <v>78</v>
      </c>
      <c r="Q23" s="20" t="s">
        <v>13</v>
      </c>
      <c r="R23" s="62" t="s">
        <v>11</v>
      </c>
      <c r="S23" s="34" t="s">
        <v>45</v>
      </c>
      <c r="T23" s="53"/>
      <c r="U23" s="11"/>
      <c r="V23" s="11"/>
      <c r="W23" s="69">
        <v>0.375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 t="s">
        <v>11</v>
      </c>
      <c r="AJ23" s="11"/>
      <c r="AK23" s="11" t="s">
        <v>11</v>
      </c>
      <c r="AL23" s="11"/>
      <c r="AM23" s="11"/>
      <c r="AN23" s="11"/>
      <c r="AO23" s="61"/>
      <c r="AP23" s="60"/>
      <c r="AQ23" s="62"/>
      <c r="AR23" s="18"/>
    </row>
    <row r="24" spans="1:44" ht="15.6" thickTop="1">
      <c r="A24" s="292">
        <v>76</v>
      </c>
      <c r="B24" s="292">
        <v>2</v>
      </c>
      <c r="C24" s="292">
        <v>4</v>
      </c>
      <c r="D24" s="294">
        <v>46072</v>
      </c>
      <c r="E24" s="294">
        <v>46081</v>
      </c>
      <c r="F24" s="292">
        <v>351</v>
      </c>
      <c r="G24" s="292">
        <v>20262024</v>
      </c>
      <c r="H24" s="292" t="s">
        <v>125</v>
      </c>
      <c r="I24" s="292" t="s">
        <v>128</v>
      </c>
      <c r="J24" s="62" t="s">
        <v>11</v>
      </c>
      <c r="K24" s="62" t="s">
        <v>11</v>
      </c>
      <c r="L24" s="60"/>
      <c r="M24" s="69">
        <v>0.39583333333333331</v>
      </c>
      <c r="N24" s="11"/>
      <c r="O24" s="95"/>
      <c r="P24" s="62" t="s">
        <v>11</v>
      </c>
      <c r="Q24" s="94" t="s">
        <v>16</v>
      </c>
      <c r="R24" s="62" t="s">
        <v>11</v>
      </c>
      <c r="S24" s="28" t="s">
        <v>78</v>
      </c>
      <c r="T24" s="28" t="s">
        <v>78</v>
      </c>
      <c r="U24" s="28" t="s">
        <v>78</v>
      </c>
      <c r="V24" s="38" t="s">
        <v>47</v>
      </c>
      <c r="W24" s="62" t="s">
        <v>11</v>
      </c>
      <c r="X24" s="22" t="s">
        <v>8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61"/>
      <c r="AP24" s="60"/>
      <c r="AQ24" s="62"/>
      <c r="AR24" s="18"/>
    </row>
    <row r="25" spans="1:44" ht="15.6" thickBot="1">
      <c r="A25" s="293"/>
      <c r="B25" s="293"/>
      <c r="C25" s="293"/>
      <c r="D25" s="293"/>
      <c r="E25" s="293"/>
      <c r="F25" s="293"/>
      <c r="G25" s="293"/>
      <c r="H25" s="293"/>
      <c r="I25" s="293"/>
      <c r="J25" s="62" t="s">
        <v>11</v>
      </c>
      <c r="K25" s="62" t="s">
        <v>11</v>
      </c>
      <c r="L25" s="60"/>
      <c r="M25" s="35" t="s">
        <v>98</v>
      </c>
      <c r="N25" s="11"/>
      <c r="O25" s="95" t="s">
        <v>37</v>
      </c>
      <c r="P25" s="62" t="s">
        <v>11</v>
      </c>
      <c r="Q25" s="20" t="s">
        <v>13</v>
      </c>
      <c r="R25" s="62" t="s">
        <v>11</v>
      </c>
      <c r="S25" s="48" t="s">
        <v>50</v>
      </c>
      <c r="T25" s="28" t="s">
        <v>78</v>
      </c>
      <c r="U25" s="28" t="s">
        <v>78</v>
      </c>
      <c r="V25" s="25" t="s">
        <v>15</v>
      </c>
      <c r="W25" s="62" t="s">
        <v>11</v>
      </c>
      <c r="X25" s="34" t="s">
        <v>70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61"/>
      <c r="AP25" s="60"/>
      <c r="AQ25" s="62"/>
      <c r="AR25" s="18"/>
    </row>
    <row r="26" spans="1:44" ht="15.6" thickTop="1">
      <c r="A26" s="292">
        <v>77</v>
      </c>
      <c r="B26" s="292">
        <v>3</v>
      </c>
      <c r="C26" s="292">
        <v>5</v>
      </c>
      <c r="D26" s="294">
        <v>46073</v>
      </c>
      <c r="E26" s="294">
        <v>46081</v>
      </c>
      <c r="F26" s="292">
        <v>300</v>
      </c>
      <c r="G26" s="292">
        <v>20262026</v>
      </c>
      <c r="H26" s="292" t="s">
        <v>127</v>
      </c>
      <c r="I26" s="292" t="s">
        <v>129</v>
      </c>
      <c r="J26" s="62" t="s">
        <v>11</v>
      </c>
      <c r="K26" s="62" t="s">
        <v>11</v>
      </c>
      <c r="L26" s="60"/>
      <c r="M26" s="18"/>
      <c r="N26" s="18"/>
      <c r="O26" s="62"/>
      <c r="P26" s="95"/>
      <c r="Q26" s="94" t="s">
        <v>16</v>
      </c>
      <c r="R26" s="62" t="s">
        <v>11</v>
      </c>
      <c r="S26" s="28" t="s">
        <v>78</v>
      </c>
      <c r="T26" s="62" t="s">
        <v>11</v>
      </c>
      <c r="U26" s="28" t="s">
        <v>78</v>
      </c>
      <c r="V26" s="38" t="s">
        <v>47</v>
      </c>
      <c r="W26" s="28" t="s">
        <v>78</v>
      </c>
      <c r="X26" s="22" t="s">
        <v>8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K26" s="69"/>
      <c r="AL26" s="11"/>
      <c r="AM26" s="11"/>
      <c r="AN26" s="11"/>
      <c r="AO26" s="11"/>
      <c r="AP26" s="60"/>
      <c r="AQ26" s="62"/>
      <c r="AR26" s="72"/>
    </row>
    <row r="27" spans="1:44" ht="15.6" thickBot="1">
      <c r="A27" s="293"/>
      <c r="B27" s="293"/>
      <c r="C27" s="293"/>
      <c r="D27" s="293"/>
      <c r="E27" s="293"/>
      <c r="F27" s="293"/>
      <c r="G27" s="293"/>
      <c r="H27" s="293"/>
      <c r="I27" s="293"/>
      <c r="J27" s="62" t="s">
        <v>11</v>
      </c>
      <c r="K27" s="62" t="s">
        <v>11</v>
      </c>
      <c r="L27" s="60"/>
      <c r="M27" s="11"/>
      <c r="N27" s="11"/>
      <c r="O27" s="62"/>
      <c r="P27" s="95" t="s">
        <v>37</v>
      </c>
      <c r="Q27" s="20" t="s">
        <v>13</v>
      </c>
      <c r="R27" s="62" t="s">
        <v>11</v>
      </c>
      <c r="S27" s="48" t="s">
        <v>50</v>
      </c>
      <c r="T27" s="62" t="s">
        <v>11</v>
      </c>
      <c r="U27" s="28" t="s">
        <v>78</v>
      </c>
      <c r="V27" s="25" t="s">
        <v>15</v>
      </c>
      <c r="W27" s="28" t="s">
        <v>78</v>
      </c>
      <c r="X27" s="34" t="s">
        <v>93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61"/>
      <c r="AP27" s="60"/>
      <c r="AQ27" s="62"/>
      <c r="AR27" s="18"/>
    </row>
    <row r="28" spans="1:44" ht="15.6" thickTop="1">
      <c r="A28" s="292">
        <v>78</v>
      </c>
      <c r="B28" s="292">
        <v>1</v>
      </c>
      <c r="C28" s="292">
        <v>1</v>
      </c>
      <c r="D28" s="294">
        <v>46072</v>
      </c>
      <c r="E28" s="294">
        <v>46082</v>
      </c>
      <c r="F28" s="292" t="s">
        <v>139</v>
      </c>
      <c r="G28" s="292">
        <v>20262028</v>
      </c>
      <c r="H28" s="292" t="s">
        <v>126</v>
      </c>
      <c r="I28" s="292" t="s">
        <v>130</v>
      </c>
      <c r="J28" s="62" t="s">
        <v>11</v>
      </c>
      <c r="K28" s="62" t="s">
        <v>11</v>
      </c>
      <c r="L28" s="60"/>
      <c r="M28" s="18"/>
      <c r="N28" s="18"/>
      <c r="O28" s="95"/>
      <c r="P28" s="62" t="s">
        <v>11</v>
      </c>
      <c r="Q28" s="94" t="s">
        <v>16</v>
      </c>
      <c r="R28" s="62" t="s">
        <v>11</v>
      </c>
      <c r="S28" s="28" t="s">
        <v>78</v>
      </c>
      <c r="T28" s="28" t="s">
        <v>78</v>
      </c>
      <c r="U28" s="62" t="s">
        <v>11</v>
      </c>
      <c r="V28" s="38" t="s">
        <v>47</v>
      </c>
      <c r="W28" s="28" t="s">
        <v>78</v>
      </c>
      <c r="X28" s="62" t="s">
        <v>11</v>
      </c>
      <c r="Y28" s="22" t="s">
        <v>8</v>
      </c>
      <c r="Z28" s="11"/>
      <c r="AA28" s="11"/>
      <c r="AB28" s="11"/>
      <c r="AC28" s="11"/>
      <c r="AD28" s="11"/>
      <c r="AE28" s="11"/>
      <c r="AF28" s="11"/>
      <c r="AG28" s="11"/>
      <c r="AH28" s="11"/>
      <c r="AI28" s="69"/>
      <c r="AJ28" s="35" t="s">
        <v>98</v>
      </c>
      <c r="AK28" s="69"/>
      <c r="AL28" s="11"/>
      <c r="AM28" s="11"/>
      <c r="AN28" s="11"/>
      <c r="AO28" s="61"/>
      <c r="AP28" s="60"/>
      <c r="AQ28" s="62"/>
      <c r="AR28" s="72"/>
    </row>
    <row r="29" spans="1:44" ht="15.6" thickBot="1">
      <c r="A29" s="293"/>
      <c r="B29" s="293"/>
      <c r="C29" s="293"/>
      <c r="D29" s="293"/>
      <c r="E29" s="293"/>
      <c r="F29" s="293"/>
      <c r="G29" s="293"/>
      <c r="H29" s="293"/>
      <c r="I29" s="293"/>
      <c r="J29" s="62" t="s">
        <v>11</v>
      </c>
      <c r="K29" s="62" t="s">
        <v>11</v>
      </c>
      <c r="L29" s="60"/>
      <c r="M29" s="11"/>
      <c r="N29" s="11"/>
      <c r="O29" s="95" t="s">
        <v>37</v>
      </c>
      <c r="P29" s="62" t="s">
        <v>11</v>
      </c>
      <c r="Q29" s="20" t="s">
        <v>13</v>
      </c>
      <c r="R29" s="62" t="s">
        <v>11</v>
      </c>
      <c r="S29" s="48" t="s">
        <v>50</v>
      </c>
      <c r="T29" s="28" t="s">
        <v>78</v>
      </c>
      <c r="U29" s="62" t="s">
        <v>11</v>
      </c>
      <c r="V29" s="25" t="s">
        <v>15</v>
      </c>
      <c r="W29" s="28" t="s">
        <v>78</v>
      </c>
      <c r="X29" s="62" t="s">
        <v>11</v>
      </c>
      <c r="Y29" s="34" t="s">
        <v>43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69">
        <v>0.39583333333333331</v>
      </c>
      <c r="AK29" s="114"/>
      <c r="AL29" s="11"/>
      <c r="AM29" s="11"/>
      <c r="AN29" s="11"/>
      <c r="AO29" s="61"/>
      <c r="AP29" s="60"/>
      <c r="AQ29" s="62"/>
      <c r="AR29" s="18"/>
    </row>
    <row r="30" spans="1:44" ht="15.6" thickTop="1">
      <c r="A30" s="292">
        <v>79</v>
      </c>
      <c r="B30" s="292">
        <v>1</v>
      </c>
      <c r="C30" s="292">
        <v>2</v>
      </c>
      <c r="D30" s="294">
        <v>46087</v>
      </c>
      <c r="E30" s="294">
        <v>46096</v>
      </c>
      <c r="F30" s="292">
        <v>806</v>
      </c>
      <c r="G30" s="292">
        <v>20262046</v>
      </c>
      <c r="H30" s="292" t="s">
        <v>133</v>
      </c>
      <c r="I30" s="292" t="s">
        <v>136</v>
      </c>
      <c r="J30" s="62" t="s">
        <v>11</v>
      </c>
      <c r="K30" s="61" t="s">
        <v>11</v>
      </c>
      <c r="L30" s="60"/>
      <c r="M30" s="18"/>
      <c r="N30" s="11"/>
      <c r="O30" s="11"/>
      <c r="P30" s="11"/>
      <c r="Q30" s="62" t="s">
        <v>11</v>
      </c>
      <c r="R30" s="62" t="s">
        <v>11</v>
      </c>
      <c r="S30" s="62" t="s">
        <v>11</v>
      </c>
      <c r="T30" s="11"/>
      <c r="U30" s="11"/>
      <c r="V30" s="69">
        <v>0.39583333333333331</v>
      </c>
      <c r="W30" s="11"/>
      <c r="X30" s="62" t="s">
        <v>11</v>
      </c>
      <c r="Y30" s="62" t="s">
        <v>11</v>
      </c>
      <c r="Z30" s="11"/>
      <c r="AA30" s="11"/>
      <c r="AB30" s="11"/>
      <c r="AC30" s="11"/>
      <c r="AD30" s="95"/>
      <c r="AE30" s="28" t="s">
        <v>78</v>
      </c>
      <c r="AF30" s="62" t="s">
        <v>11</v>
      </c>
      <c r="AG30" s="62" t="s">
        <v>11</v>
      </c>
      <c r="AH30" s="43" t="s">
        <v>147</v>
      </c>
      <c r="AI30" s="28" t="s">
        <v>78</v>
      </c>
      <c r="AJ30" s="38" t="s">
        <v>47</v>
      </c>
      <c r="AK30" s="62" t="s">
        <v>11</v>
      </c>
      <c r="AL30" s="94" t="s">
        <v>16</v>
      </c>
      <c r="AM30" s="22" t="s">
        <v>8</v>
      </c>
      <c r="AN30" s="11"/>
      <c r="AO30" s="61"/>
      <c r="AP30" s="60"/>
      <c r="AQ30" s="62"/>
      <c r="AR30" s="72"/>
    </row>
    <row r="31" spans="1:44" ht="15.6" thickBot="1">
      <c r="A31" s="293"/>
      <c r="B31" s="293"/>
      <c r="C31" s="293"/>
      <c r="D31" s="293"/>
      <c r="E31" s="293"/>
      <c r="F31" s="293"/>
      <c r="G31" s="293"/>
      <c r="H31" s="293"/>
      <c r="I31" s="293"/>
      <c r="J31" s="62" t="s">
        <v>11</v>
      </c>
      <c r="K31" s="61" t="s">
        <v>11</v>
      </c>
      <c r="L31" s="60"/>
      <c r="M31" s="11"/>
      <c r="N31" s="11"/>
      <c r="O31" s="11"/>
      <c r="P31" s="11"/>
      <c r="Q31" s="62" t="s">
        <v>11</v>
      </c>
      <c r="R31" s="62" t="s">
        <v>11</v>
      </c>
      <c r="S31" s="62" t="s">
        <v>11</v>
      </c>
      <c r="T31" s="11"/>
      <c r="U31" s="11"/>
      <c r="V31" s="35" t="s">
        <v>98</v>
      </c>
      <c r="W31" s="11"/>
      <c r="X31" s="62" t="s">
        <v>11</v>
      </c>
      <c r="Y31" s="62" t="s">
        <v>11</v>
      </c>
      <c r="Z31" s="11"/>
      <c r="AA31" s="11"/>
      <c r="AB31" s="11"/>
      <c r="AC31" s="11"/>
      <c r="AD31" s="95" t="s">
        <v>37</v>
      </c>
      <c r="AE31" s="28" t="s">
        <v>78</v>
      </c>
      <c r="AF31" s="62" t="s">
        <v>11</v>
      </c>
      <c r="AG31" s="62" t="s">
        <v>11</v>
      </c>
      <c r="AH31" s="28" t="s">
        <v>78</v>
      </c>
      <c r="AI31" s="28" t="s">
        <v>78</v>
      </c>
      <c r="AJ31" s="25" t="s">
        <v>15</v>
      </c>
      <c r="AK31" s="62" t="s">
        <v>11</v>
      </c>
      <c r="AL31" s="20" t="s">
        <v>13</v>
      </c>
      <c r="AM31" s="34" t="s">
        <v>95</v>
      </c>
      <c r="AN31" s="11"/>
      <c r="AO31" s="61"/>
      <c r="AP31" s="60"/>
      <c r="AQ31" s="62"/>
      <c r="AR31" s="18"/>
    </row>
    <row r="32" spans="1:44" ht="15.6" thickTop="1">
      <c r="A32" s="292">
        <v>80</v>
      </c>
      <c r="B32" s="292">
        <v>2</v>
      </c>
      <c r="C32" s="292">
        <v>3</v>
      </c>
      <c r="D32" s="294">
        <v>46090</v>
      </c>
      <c r="E32" s="294">
        <v>46097</v>
      </c>
      <c r="F32" s="292">
        <v>836</v>
      </c>
      <c r="G32" s="292">
        <v>20262051</v>
      </c>
      <c r="H32" s="292" t="s">
        <v>134</v>
      </c>
      <c r="I32" s="292" t="s">
        <v>146</v>
      </c>
      <c r="J32" s="62" t="s">
        <v>11</v>
      </c>
      <c r="K32" s="62" t="s">
        <v>11</v>
      </c>
      <c r="L32" s="60"/>
      <c r="M32" s="18"/>
      <c r="N32" s="11"/>
      <c r="O32" s="11"/>
      <c r="P32" s="11"/>
      <c r="Q32" s="62" t="s">
        <v>11</v>
      </c>
      <c r="R32" s="62" t="s">
        <v>11</v>
      </c>
      <c r="S32" s="62" t="s">
        <v>11</v>
      </c>
      <c r="T32" s="11"/>
      <c r="U32" s="11"/>
      <c r="V32" s="11"/>
      <c r="W32" s="11"/>
      <c r="X32" s="62" t="s">
        <v>11</v>
      </c>
      <c r="Y32" s="62" t="s">
        <v>11</v>
      </c>
      <c r="Z32" s="11"/>
      <c r="AA32" s="11"/>
      <c r="AB32" s="11"/>
      <c r="AC32" s="11"/>
      <c r="AD32" s="11"/>
      <c r="AE32" s="62" t="s">
        <v>11</v>
      </c>
      <c r="AF32" s="62" t="s">
        <v>11</v>
      </c>
      <c r="AG32" s="95"/>
      <c r="AH32" s="43" t="s">
        <v>147</v>
      </c>
      <c r="AI32" s="28" t="s">
        <v>78</v>
      </c>
      <c r="AJ32" s="38" t="s">
        <v>47</v>
      </c>
      <c r="AK32" s="62" t="s">
        <v>11</v>
      </c>
      <c r="AL32" s="94" t="s">
        <v>16</v>
      </c>
      <c r="AM32" s="28" t="s">
        <v>78</v>
      </c>
      <c r="AN32" s="22" t="s">
        <v>8</v>
      </c>
      <c r="AO32" s="61"/>
      <c r="AP32" s="60"/>
      <c r="AQ32" s="62"/>
      <c r="AR32" s="18"/>
    </row>
    <row r="33" spans="1:44" ht="15.6" thickBot="1">
      <c r="A33" s="293"/>
      <c r="B33" s="293"/>
      <c r="C33" s="293"/>
      <c r="D33" s="293"/>
      <c r="E33" s="293"/>
      <c r="F33" s="293"/>
      <c r="G33" s="293"/>
      <c r="H33" s="293"/>
      <c r="I33" s="293"/>
      <c r="J33" s="62" t="s">
        <v>11</v>
      </c>
      <c r="K33" s="62" t="s">
        <v>11</v>
      </c>
      <c r="L33" s="60"/>
      <c r="M33" s="11"/>
      <c r="N33" s="11"/>
      <c r="O33" s="11"/>
      <c r="P33" s="11"/>
      <c r="Q33" s="62" t="s">
        <v>11</v>
      </c>
      <c r="R33" s="62" t="s">
        <v>11</v>
      </c>
      <c r="S33" s="62" t="s">
        <v>11</v>
      </c>
      <c r="T33" s="11"/>
      <c r="U33" s="11"/>
      <c r="V33" s="11"/>
      <c r="W33" s="11"/>
      <c r="X33" s="62" t="s">
        <v>11</v>
      </c>
      <c r="Y33" s="62" t="s">
        <v>11</v>
      </c>
      <c r="Z33" s="11"/>
      <c r="AA33" s="11"/>
      <c r="AC33" s="11"/>
      <c r="AD33" s="11"/>
      <c r="AE33" s="62" t="s">
        <v>11</v>
      </c>
      <c r="AF33" s="62" t="s">
        <v>11</v>
      </c>
      <c r="AG33" s="95" t="s">
        <v>37</v>
      </c>
      <c r="AH33" s="28" t="s">
        <v>78</v>
      </c>
      <c r="AI33" s="28" t="s">
        <v>78</v>
      </c>
      <c r="AJ33" s="25" t="s">
        <v>15</v>
      </c>
      <c r="AK33" s="62" t="s">
        <v>11</v>
      </c>
      <c r="AL33" s="20" t="s">
        <v>13</v>
      </c>
      <c r="AM33" s="48" t="s">
        <v>50</v>
      </c>
      <c r="AN33" s="34" t="s">
        <v>79</v>
      </c>
      <c r="AO33" s="61"/>
      <c r="AP33" s="60"/>
      <c r="AQ33" s="62"/>
      <c r="AR33" s="18"/>
    </row>
    <row r="34" spans="1:44" ht="15.6" thickTop="1">
      <c r="A34" s="292">
        <v>81</v>
      </c>
      <c r="B34" s="292">
        <v>4</v>
      </c>
      <c r="C34" s="292">
        <v>7</v>
      </c>
      <c r="D34" s="294">
        <v>46092</v>
      </c>
      <c r="E34" s="292"/>
      <c r="F34" s="292">
        <v>795</v>
      </c>
      <c r="G34" s="292">
        <v>20262057</v>
      </c>
      <c r="H34" s="292" t="s">
        <v>135</v>
      </c>
      <c r="I34" s="292" t="s">
        <v>138</v>
      </c>
      <c r="J34" s="62" t="s">
        <v>11</v>
      </c>
      <c r="K34" s="62" t="s">
        <v>11</v>
      </c>
      <c r="L34" s="60"/>
      <c r="M34" s="18"/>
      <c r="N34" s="11"/>
      <c r="O34" s="11"/>
      <c r="P34" s="11"/>
      <c r="Q34" s="62" t="s">
        <v>11</v>
      </c>
      <c r="R34" s="62" t="s">
        <v>11</v>
      </c>
      <c r="S34" s="62" t="s">
        <v>11</v>
      </c>
      <c r="T34" s="11"/>
      <c r="U34" s="11"/>
      <c r="V34" s="11"/>
      <c r="W34" s="11"/>
      <c r="X34" s="62" t="s">
        <v>11</v>
      </c>
      <c r="Y34" s="62" t="s">
        <v>11</v>
      </c>
      <c r="Z34" s="11"/>
      <c r="AA34" s="11"/>
      <c r="AB34" s="11"/>
      <c r="AC34" s="11"/>
      <c r="AD34" s="11"/>
      <c r="AE34" s="62" t="s">
        <v>11</v>
      </c>
      <c r="AF34" s="62" t="s">
        <v>11</v>
      </c>
      <c r="AG34" s="11"/>
      <c r="AH34" s="11"/>
      <c r="AI34" s="95" t="s">
        <v>37</v>
      </c>
      <c r="AJ34" s="38" t="s">
        <v>47</v>
      </c>
      <c r="AK34" s="62" t="s">
        <v>11</v>
      </c>
      <c r="AL34" s="94" t="s">
        <v>16</v>
      </c>
      <c r="AM34" s="28" t="s">
        <v>78</v>
      </c>
      <c r="AN34" s="62" t="s">
        <v>11</v>
      </c>
      <c r="AO34" s="67" t="s">
        <v>78</v>
      </c>
      <c r="AP34" s="62" t="s">
        <v>11</v>
      </c>
      <c r="AQ34" s="28" t="s">
        <v>78</v>
      </c>
      <c r="AR34" s="28" t="s">
        <v>78</v>
      </c>
    </row>
    <row r="35" spans="1:44">
      <c r="A35" s="293"/>
      <c r="B35" s="293"/>
      <c r="C35" s="293"/>
      <c r="D35" s="293"/>
      <c r="E35" s="293"/>
      <c r="F35" s="293"/>
      <c r="G35" s="293"/>
      <c r="H35" s="293"/>
      <c r="I35" s="293"/>
      <c r="J35" s="62" t="s">
        <v>11</v>
      </c>
      <c r="K35" s="62" t="s">
        <v>11</v>
      </c>
      <c r="L35" s="60"/>
      <c r="M35" s="11"/>
      <c r="N35" s="11"/>
      <c r="O35" s="11"/>
      <c r="P35" s="11"/>
      <c r="Q35" s="62" t="s">
        <v>11</v>
      </c>
      <c r="R35" s="62" t="s">
        <v>11</v>
      </c>
      <c r="S35" s="62" t="s">
        <v>11</v>
      </c>
      <c r="T35" s="11"/>
      <c r="U35" s="11"/>
      <c r="V35" s="11"/>
      <c r="W35" s="11"/>
      <c r="X35" s="62" t="s">
        <v>11</v>
      </c>
      <c r="Y35" s="62" t="s">
        <v>11</v>
      </c>
      <c r="Z35" s="11"/>
      <c r="AA35" s="11"/>
      <c r="AB35" s="11"/>
      <c r="AC35" s="11"/>
      <c r="AD35" s="11"/>
      <c r="AE35" s="62" t="s">
        <v>11</v>
      </c>
      <c r="AF35" s="62" t="s">
        <v>11</v>
      </c>
      <c r="AG35" s="11"/>
      <c r="AH35" s="11"/>
      <c r="AI35" s="43" t="s">
        <v>147</v>
      </c>
      <c r="AJ35" s="25" t="s">
        <v>15</v>
      </c>
      <c r="AK35" s="62" t="s">
        <v>11</v>
      </c>
      <c r="AL35" s="20" t="s">
        <v>13</v>
      </c>
      <c r="AM35" s="48" t="s">
        <v>50</v>
      </c>
      <c r="AN35" s="62" t="s">
        <v>11</v>
      </c>
      <c r="AO35" s="67" t="s">
        <v>78</v>
      </c>
      <c r="AP35" s="62" t="s">
        <v>11</v>
      </c>
      <c r="AQ35" s="28" t="s">
        <v>78</v>
      </c>
      <c r="AR35" s="28" t="s">
        <v>78</v>
      </c>
    </row>
    <row r="36" spans="1:44">
      <c r="A36" s="292">
        <v>82</v>
      </c>
      <c r="B36" s="292">
        <v>1</v>
      </c>
      <c r="C36" s="292"/>
      <c r="D36" s="294">
        <v>46099</v>
      </c>
      <c r="E36" s="292"/>
      <c r="F36" s="292">
        <v>813</v>
      </c>
      <c r="G36" s="292">
        <v>20262061</v>
      </c>
      <c r="H36" s="292" t="s">
        <v>142</v>
      </c>
      <c r="I36" s="292"/>
      <c r="J36" s="62" t="s">
        <v>11</v>
      </c>
      <c r="K36" s="62" t="s">
        <v>11</v>
      </c>
      <c r="L36" s="60"/>
      <c r="M36" s="18"/>
      <c r="N36" s="11"/>
      <c r="O36" s="11"/>
      <c r="P36" s="11"/>
      <c r="Q36" s="62" t="s">
        <v>11</v>
      </c>
      <c r="R36" s="62" t="s">
        <v>11</v>
      </c>
      <c r="S36" s="62" t="s">
        <v>11</v>
      </c>
      <c r="T36" s="11"/>
      <c r="U36" s="11"/>
      <c r="V36" s="11"/>
      <c r="W36" s="11"/>
      <c r="X36" s="62" t="s">
        <v>11</v>
      </c>
      <c r="Y36" s="62" t="s">
        <v>11</v>
      </c>
      <c r="Z36" s="11"/>
      <c r="AA36" s="11"/>
      <c r="AB36" s="11"/>
      <c r="AC36" s="11"/>
      <c r="AD36" s="11"/>
      <c r="AE36" s="62" t="s">
        <v>11</v>
      </c>
      <c r="AF36" s="62" t="s">
        <v>11</v>
      </c>
      <c r="AG36" s="11"/>
      <c r="AH36" s="11"/>
      <c r="AI36" s="11"/>
      <c r="AJ36" s="11"/>
      <c r="AK36" s="11"/>
      <c r="AL36" s="62" t="s">
        <v>11</v>
      </c>
      <c r="AM36" s="62" t="s">
        <v>11</v>
      </c>
      <c r="AN36" s="11"/>
      <c r="AO36" s="61"/>
      <c r="AP36" s="95"/>
      <c r="AQ36" s="28" t="s">
        <v>78</v>
      </c>
      <c r="AR36" s="11"/>
    </row>
    <row r="37" spans="1:44">
      <c r="A37" s="293"/>
      <c r="B37" s="293"/>
      <c r="C37" s="293"/>
      <c r="D37" s="293"/>
      <c r="E37" s="293"/>
      <c r="F37" s="293"/>
      <c r="G37" s="293"/>
      <c r="H37" s="293"/>
      <c r="I37" s="293"/>
      <c r="J37" s="62" t="s">
        <v>11</v>
      </c>
      <c r="K37" s="62" t="s">
        <v>11</v>
      </c>
      <c r="L37" s="60"/>
      <c r="M37" s="11"/>
      <c r="N37" s="11"/>
      <c r="O37" s="11"/>
      <c r="P37" s="11"/>
      <c r="Q37" s="62" t="s">
        <v>11</v>
      </c>
      <c r="R37" s="62" t="s">
        <v>11</v>
      </c>
      <c r="S37" s="62" t="s">
        <v>11</v>
      </c>
      <c r="T37" s="11"/>
      <c r="U37" s="11"/>
      <c r="V37" s="11"/>
      <c r="W37" s="11"/>
      <c r="X37" s="62" t="s">
        <v>11</v>
      </c>
      <c r="Y37" s="62" t="s">
        <v>11</v>
      </c>
      <c r="Z37" s="11"/>
      <c r="AA37" s="11"/>
      <c r="AB37" s="11"/>
      <c r="AC37" s="11"/>
      <c r="AD37" s="11"/>
      <c r="AE37" s="62" t="s">
        <v>11</v>
      </c>
      <c r="AF37" s="62" t="s">
        <v>11</v>
      </c>
      <c r="AG37" s="11"/>
      <c r="AH37" s="11"/>
      <c r="AI37" s="11"/>
      <c r="AJ37" s="11"/>
      <c r="AK37" s="11"/>
      <c r="AL37" s="62" t="s">
        <v>11</v>
      </c>
      <c r="AM37" s="62" t="s">
        <v>11</v>
      </c>
      <c r="AN37" s="11"/>
      <c r="AO37" s="61"/>
      <c r="AP37" s="95" t="s">
        <v>37</v>
      </c>
      <c r="AQ37" s="28" t="s">
        <v>78</v>
      </c>
      <c r="AR37" s="114"/>
    </row>
    <row r="38" spans="1:44" hidden="1" outlineLevel="1">
      <c r="A38" s="292">
        <v>301</v>
      </c>
      <c r="B38" s="292">
        <v>1</v>
      </c>
      <c r="C38" s="292">
        <v>2</v>
      </c>
      <c r="D38" s="292"/>
      <c r="E38" s="292"/>
      <c r="F38" s="292"/>
      <c r="G38" s="295">
        <v>20253504</v>
      </c>
      <c r="H38" s="292" t="s">
        <v>73</v>
      </c>
      <c r="I38" s="292" t="s">
        <v>84</v>
      </c>
      <c r="J38" s="11"/>
      <c r="K38" s="61"/>
      <c r="L38" s="60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61"/>
      <c r="AQ38" s="60"/>
      <c r="AR38" s="18"/>
    </row>
    <row r="39" spans="1:44" hidden="1" outlineLevel="1">
      <c r="A39" s="293"/>
      <c r="B39" s="293"/>
      <c r="C39" s="293"/>
      <c r="D39" s="293"/>
      <c r="E39" s="293"/>
      <c r="F39" s="293"/>
      <c r="G39" s="296"/>
      <c r="H39" s="293"/>
      <c r="I39" s="293"/>
      <c r="J39" s="11"/>
      <c r="K39" s="10"/>
      <c r="L39" s="6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61"/>
      <c r="AQ39" s="60"/>
      <c r="AR39" s="18"/>
    </row>
    <row r="40" spans="1:44" hidden="1" outlineLevel="1">
      <c r="A40" s="292">
        <v>302</v>
      </c>
      <c r="B40" s="292">
        <v>4</v>
      </c>
      <c r="C40" s="292">
        <v>8</v>
      </c>
      <c r="D40" s="292"/>
      <c r="E40" s="292"/>
      <c r="F40" s="292"/>
      <c r="G40" s="295">
        <v>20253555</v>
      </c>
      <c r="H40" s="292" t="s">
        <v>74</v>
      </c>
      <c r="I40" s="292" t="s">
        <v>85</v>
      </c>
      <c r="J40" s="11"/>
      <c r="K40" s="61"/>
      <c r="L40" s="60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61"/>
      <c r="AQ40" s="60"/>
      <c r="AR40" s="18"/>
    </row>
    <row r="41" spans="1:44" hidden="1" outlineLevel="1">
      <c r="A41" s="293"/>
      <c r="B41" s="293"/>
      <c r="C41" s="293"/>
      <c r="D41" s="293"/>
      <c r="E41" s="293"/>
      <c r="F41" s="293"/>
      <c r="G41" s="296"/>
      <c r="H41" s="293"/>
      <c r="I41" s="293"/>
      <c r="J41" s="11"/>
      <c r="K41" s="10"/>
      <c r="L41" s="6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61"/>
      <c r="AQ41" s="60"/>
      <c r="AR41" s="18"/>
    </row>
    <row r="42" spans="1:44" hidden="1" outlineLevel="1">
      <c r="A42" s="292">
        <v>303</v>
      </c>
      <c r="B42" s="292">
        <v>1</v>
      </c>
      <c r="C42" s="292">
        <v>2</v>
      </c>
      <c r="D42" s="292"/>
      <c r="E42" s="292"/>
      <c r="F42" s="292"/>
      <c r="G42" s="295">
        <v>20253569</v>
      </c>
      <c r="H42" s="315" t="s">
        <v>75</v>
      </c>
      <c r="I42" s="292" t="s">
        <v>86</v>
      </c>
      <c r="J42" s="11"/>
      <c r="K42" s="61"/>
      <c r="L42" s="60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61"/>
      <c r="AQ42" s="60"/>
      <c r="AR42" s="18"/>
    </row>
    <row r="43" spans="1:44" hidden="1" outlineLevel="1">
      <c r="A43" s="293"/>
      <c r="B43" s="293"/>
      <c r="C43" s="293"/>
      <c r="D43" s="293"/>
      <c r="E43" s="293"/>
      <c r="F43" s="293"/>
      <c r="G43" s="296"/>
      <c r="H43" s="316"/>
      <c r="I43" s="293"/>
      <c r="J43" s="11"/>
      <c r="K43" s="10"/>
      <c r="L43" s="6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61"/>
      <c r="AQ43" s="60"/>
      <c r="AR43" s="18"/>
    </row>
    <row r="44" spans="1:44" hidden="1" outlineLevel="1">
      <c r="A44" s="292">
        <v>304</v>
      </c>
      <c r="B44" s="292">
        <v>2</v>
      </c>
      <c r="C44" s="292">
        <v>3</v>
      </c>
      <c r="D44" s="292"/>
      <c r="E44" s="292"/>
      <c r="F44" s="292">
        <v>192</v>
      </c>
      <c r="G44" s="295">
        <v>20253528</v>
      </c>
      <c r="H44" s="292" t="s">
        <v>81</v>
      </c>
      <c r="I44" s="292" t="s">
        <v>87</v>
      </c>
      <c r="J44" s="11"/>
      <c r="K44" s="61"/>
      <c r="L44" s="60"/>
      <c r="M44" s="18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61"/>
      <c r="AQ44" s="60"/>
      <c r="AR44" s="18"/>
    </row>
    <row r="45" spans="1:44" hidden="1" outlineLevel="1">
      <c r="A45" s="293"/>
      <c r="B45" s="293"/>
      <c r="C45" s="293"/>
      <c r="D45" s="293"/>
      <c r="E45" s="293"/>
      <c r="F45" s="293"/>
      <c r="G45" s="296"/>
      <c r="H45" s="293"/>
      <c r="I45" s="293"/>
      <c r="J45" s="11"/>
      <c r="K45" s="10"/>
      <c r="L45" s="6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61"/>
      <c r="AQ45" s="60"/>
      <c r="AR45" s="18"/>
    </row>
    <row r="46" spans="1:44" hidden="1" collapsed="1">
      <c r="A46" s="292">
        <v>305</v>
      </c>
      <c r="B46" s="292">
        <v>3</v>
      </c>
      <c r="C46" s="292">
        <v>5</v>
      </c>
      <c r="D46" s="292"/>
      <c r="E46" s="292"/>
      <c r="F46" s="292">
        <v>845</v>
      </c>
      <c r="G46" s="295">
        <v>20253529</v>
      </c>
      <c r="H46" s="292" t="s">
        <v>80</v>
      </c>
      <c r="I46" s="292" t="s">
        <v>88</v>
      </c>
      <c r="J46" s="11"/>
      <c r="K46" s="61"/>
      <c r="L46" s="60"/>
      <c r="M46" s="18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61"/>
      <c r="AQ46" s="60"/>
      <c r="AR46" s="18"/>
    </row>
    <row r="47" spans="1:44" hidden="1">
      <c r="A47" s="293"/>
      <c r="B47" s="293"/>
      <c r="C47" s="293"/>
      <c r="D47" s="293"/>
      <c r="E47" s="293"/>
      <c r="F47" s="293"/>
      <c r="G47" s="296"/>
      <c r="H47" s="293"/>
      <c r="I47" s="293"/>
      <c r="J47" s="11"/>
      <c r="K47" s="10"/>
      <c r="L47" s="6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61"/>
      <c r="AQ47" s="60"/>
      <c r="AR47" s="18"/>
    </row>
    <row r="48" spans="1:44" hidden="1">
      <c r="A48" s="292">
        <v>306</v>
      </c>
      <c r="B48" s="292">
        <v>4</v>
      </c>
      <c r="C48" s="292">
        <v>8</v>
      </c>
      <c r="D48" s="292"/>
      <c r="E48" s="292"/>
      <c r="F48" s="292">
        <v>800</v>
      </c>
      <c r="G48" s="295">
        <v>20253587</v>
      </c>
      <c r="H48" s="292" t="s">
        <v>82</v>
      </c>
      <c r="I48" s="292" t="s">
        <v>89</v>
      </c>
      <c r="J48" s="11"/>
      <c r="K48" s="61"/>
      <c r="L48" s="60"/>
      <c r="M48" s="18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61"/>
      <c r="AQ48" s="60"/>
      <c r="AR48" s="18"/>
    </row>
    <row r="49" spans="1:44" hidden="1">
      <c r="A49" s="293"/>
      <c r="B49" s="293"/>
      <c r="C49" s="293"/>
      <c r="D49" s="293"/>
      <c r="E49" s="293"/>
      <c r="F49" s="293"/>
      <c r="G49" s="296"/>
      <c r="H49" s="293"/>
      <c r="I49" s="293"/>
      <c r="J49" s="11"/>
      <c r="K49" s="10"/>
      <c r="L49" s="6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61"/>
      <c r="AQ49" s="60"/>
      <c r="AR49" s="18"/>
    </row>
    <row r="50" spans="1:44" hidden="1">
      <c r="A50" s="292">
        <v>307</v>
      </c>
      <c r="B50" s="292">
        <v>2</v>
      </c>
      <c r="C50" s="292">
        <v>3</v>
      </c>
      <c r="D50" s="292"/>
      <c r="E50" s="292"/>
      <c r="F50" s="292">
        <v>753</v>
      </c>
      <c r="G50" s="295">
        <v>20253557</v>
      </c>
      <c r="H50" s="292" t="s">
        <v>83</v>
      </c>
      <c r="I50" s="292" t="s">
        <v>90</v>
      </c>
      <c r="J50" s="11"/>
      <c r="K50" s="61"/>
      <c r="L50" s="60"/>
      <c r="M50" s="18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61"/>
      <c r="AQ50" s="60"/>
      <c r="AR50" s="18"/>
    </row>
    <row r="51" spans="1:44" hidden="1">
      <c r="A51" s="293"/>
      <c r="B51" s="293"/>
      <c r="C51" s="293"/>
      <c r="D51" s="293"/>
      <c r="E51" s="293"/>
      <c r="F51" s="293"/>
      <c r="G51" s="296"/>
      <c r="H51" s="293"/>
      <c r="I51" s="293"/>
      <c r="J51" s="11"/>
      <c r="K51" s="10"/>
      <c r="L51" s="6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61"/>
      <c r="AQ51" s="60"/>
      <c r="AR51" s="18"/>
    </row>
    <row r="52" spans="1:44" hidden="1">
      <c r="A52" s="292"/>
      <c r="B52" s="292"/>
      <c r="C52" s="292"/>
      <c r="D52" s="292"/>
      <c r="E52" s="292"/>
      <c r="F52" s="292"/>
      <c r="G52" s="292"/>
      <c r="H52" s="292"/>
      <c r="I52" s="292"/>
      <c r="J52" s="11"/>
      <c r="K52" s="61"/>
      <c r="L52" s="60"/>
      <c r="M52" s="18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61"/>
      <c r="AQ52" s="60"/>
      <c r="AR52" s="18"/>
    </row>
    <row r="53" spans="1:44" hidden="1">
      <c r="A53" s="293"/>
      <c r="B53" s="293"/>
      <c r="C53" s="293"/>
      <c r="D53" s="293"/>
      <c r="E53" s="293"/>
      <c r="F53" s="293"/>
      <c r="G53" s="293"/>
      <c r="H53" s="293"/>
      <c r="I53" s="293"/>
      <c r="J53" s="11"/>
      <c r="K53" s="10"/>
      <c r="L53" s="60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61"/>
      <c r="AQ53" s="60"/>
      <c r="AR53" s="18"/>
    </row>
    <row r="54" spans="1:44" hidden="1">
      <c r="A54" s="292"/>
      <c r="B54" s="292"/>
      <c r="C54" s="292"/>
      <c r="D54" s="292"/>
      <c r="E54" s="292"/>
      <c r="F54" s="292"/>
      <c r="G54" s="292"/>
      <c r="H54" s="292"/>
      <c r="I54" s="292"/>
      <c r="J54" s="11"/>
      <c r="K54" s="10"/>
      <c r="L54" s="6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61"/>
      <c r="AQ54" s="60"/>
      <c r="AR54" s="11"/>
    </row>
    <row r="55" spans="1:44" hidden="1">
      <c r="A55" s="293"/>
      <c r="B55" s="293"/>
      <c r="C55" s="293"/>
      <c r="D55" s="293"/>
      <c r="E55" s="293"/>
      <c r="F55" s="293"/>
      <c r="G55" s="293"/>
      <c r="H55" s="293"/>
      <c r="I55" s="293"/>
      <c r="J55" s="11"/>
      <c r="K55" s="10"/>
      <c r="L55" s="6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61"/>
      <c r="AQ55" s="60"/>
      <c r="AR55" s="11"/>
    </row>
    <row r="56" spans="1:44" hidden="1">
      <c r="A56" s="292"/>
      <c r="B56" s="292"/>
      <c r="C56" s="292"/>
      <c r="D56" s="292"/>
      <c r="E56" s="292"/>
      <c r="F56" s="292"/>
      <c r="G56" s="292"/>
      <c r="H56" s="292"/>
      <c r="I56" s="292"/>
      <c r="J56" s="11"/>
      <c r="K56" s="10"/>
      <c r="L56" s="6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61"/>
      <c r="AQ56" s="60"/>
      <c r="AR56" s="18"/>
    </row>
    <row r="57" spans="1:44" hidden="1">
      <c r="A57" s="293"/>
      <c r="B57" s="293"/>
      <c r="C57" s="293"/>
      <c r="D57" s="293"/>
      <c r="E57" s="293"/>
      <c r="F57" s="293"/>
      <c r="G57" s="293"/>
      <c r="H57" s="293"/>
      <c r="I57" s="293"/>
      <c r="J57" s="11"/>
      <c r="K57" s="10"/>
      <c r="L57" s="6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61"/>
      <c r="AQ57" s="60"/>
      <c r="AR57" s="18"/>
    </row>
    <row r="58" spans="1:44">
      <c r="A58" s="51"/>
      <c r="E58" s="2"/>
      <c r="F58" s="12"/>
      <c r="G58" s="12"/>
      <c r="H58" s="12"/>
      <c r="I58" s="12"/>
      <c r="J58" s="5">
        <f>COUNTA(J6:J57)*0.5</f>
        <v>12</v>
      </c>
      <c r="K58" s="5"/>
      <c r="L58" s="5">
        <f t="shared" ref="L58:AM58" si="18">COUNTA(L6:L57)*0.5</f>
        <v>5.5</v>
      </c>
      <c r="M58" s="5">
        <f t="shared" si="18"/>
        <v>5</v>
      </c>
      <c r="N58" s="5">
        <f t="shared" si="18"/>
        <v>3</v>
      </c>
      <c r="O58" s="5">
        <f t="shared" si="18"/>
        <v>4</v>
      </c>
      <c r="P58" s="5">
        <f t="shared" si="18"/>
        <v>5</v>
      </c>
      <c r="Q58" s="5">
        <f t="shared" si="18"/>
        <v>9</v>
      </c>
      <c r="R58" s="5">
        <f t="shared" si="18"/>
        <v>9</v>
      </c>
      <c r="S58" s="5">
        <f t="shared" si="18"/>
        <v>9</v>
      </c>
      <c r="T58" s="5">
        <f t="shared" si="18"/>
        <v>3</v>
      </c>
      <c r="U58" s="5">
        <f t="shared" si="18"/>
        <v>3</v>
      </c>
      <c r="V58" s="5">
        <f t="shared" si="18"/>
        <v>4</v>
      </c>
      <c r="W58" s="5">
        <f t="shared" si="18"/>
        <v>3.5</v>
      </c>
      <c r="X58" s="5">
        <f t="shared" si="18"/>
        <v>7</v>
      </c>
      <c r="Y58" s="5">
        <f t="shared" si="18"/>
        <v>5</v>
      </c>
      <c r="Z58" s="5">
        <f t="shared" si="18"/>
        <v>0</v>
      </c>
      <c r="AA58" s="5">
        <f t="shared" si="18"/>
        <v>0</v>
      </c>
      <c r="AB58" s="5">
        <f t="shared" si="18"/>
        <v>0</v>
      </c>
      <c r="AC58" s="5">
        <f t="shared" si="18"/>
        <v>0</v>
      </c>
      <c r="AD58" s="5">
        <f t="shared" si="18"/>
        <v>0.5</v>
      </c>
      <c r="AE58" s="5">
        <f t="shared" si="18"/>
        <v>4</v>
      </c>
      <c r="AF58" s="5">
        <f t="shared" si="18"/>
        <v>4</v>
      </c>
      <c r="AG58" s="5">
        <f t="shared" si="18"/>
        <v>1.5</v>
      </c>
      <c r="AH58" s="5">
        <f t="shared" si="18"/>
        <v>2</v>
      </c>
      <c r="AI58" s="5">
        <f t="shared" si="18"/>
        <v>4</v>
      </c>
      <c r="AJ58" s="5">
        <f t="shared" si="18"/>
        <v>4</v>
      </c>
      <c r="AK58" s="5">
        <f t="shared" si="18"/>
        <v>4</v>
      </c>
      <c r="AL58" s="5">
        <f t="shared" si="18"/>
        <v>4</v>
      </c>
      <c r="AM58" s="5">
        <f t="shared" si="18"/>
        <v>4</v>
      </c>
      <c r="AN58" s="5"/>
      <c r="AO58" s="5">
        <f>COUNTA(AO6:AO57)*0.5</f>
        <v>1</v>
      </c>
      <c r="AP58" s="5">
        <f>COUNTA(AP6:AP57)*0.5</f>
        <v>1.5</v>
      </c>
      <c r="AQ58" s="5">
        <f>COUNTA(AQ6:AQ57)*0.5</f>
        <v>2</v>
      </c>
      <c r="AR58" s="5">
        <f>COUNTA(AR6:AR57)*0.5</f>
        <v>1</v>
      </c>
    </row>
    <row r="59" spans="1:44" ht="15" hidden="1" customHeight="1"/>
    <row r="60" spans="1:44" hidden="1"/>
    <row r="61" spans="1:44" hidden="1">
      <c r="B61" s="301"/>
      <c r="C61" s="301"/>
      <c r="D61" s="301"/>
      <c r="E61" s="301"/>
      <c r="F61" s="301"/>
    </row>
    <row r="62" spans="1:44">
      <c r="I62" s="6" t="s">
        <v>14</v>
      </c>
      <c r="J62" s="45" t="s">
        <v>47</v>
      </c>
      <c r="K62" s="45"/>
      <c r="L62" s="24" t="s">
        <v>17</v>
      </c>
      <c r="M62" s="23" t="s">
        <v>19</v>
      </c>
      <c r="N62" s="14" t="s">
        <v>21</v>
      </c>
      <c r="O62" s="26" t="s">
        <v>26</v>
      </c>
      <c r="P62" s="15" t="s">
        <v>16</v>
      </c>
      <c r="Q62" s="16" t="s">
        <v>23</v>
      </c>
      <c r="R62" s="22" t="s">
        <v>8</v>
      </c>
      <c r="S62" s="3"/>
      <c r="T62" s="17" t="s">
        <v>24</v>
      </c>
      <c r="U62" s="36" t="s">
        <v>36</v>
      </c>
      <c r="W62" s="38" t="s">
        <v>13</v>
      </c>
      <c r="X62" s="38"/>
      <c r="Y62" s="38"/>
      <c r="Z62" s="46" t="s">
        <v>37</v>
      </c>
      <c r="AB62" s="50" t="s">
        <v>49</v>
      </c>
      <c r="AC62" s="3"/>
      <c r="AD62" s="48" t="s">
        <v>50</v>
      </c>
      <c r="AE62" s="15" t="s">
        <v>16</v>
      </c>
      <c r="AF62" s="28" t="s">
        <v>9</v>
      </c>
      <c r="AG62" s="17" t="s">
        <v>22</v>
      </c>
      <c r="AH62" s="16" t="s">
        <v>23</v>
      </c>
      <c r="AI62" s="3"/>
      <c r="AJ62" s="41" t="s">
        <v>41</v>
      </c>
      <c r="AK62" s="66" t="s">
        <v>37</v>
      </c>
      <c r="AL62" s="3"/>
      <c r="AM62" s="3"/>
      <c r="AN62" s="3"/>
      <c r="AO62" s="3"/>
      <c r="AP62" s="3"/>
      <c r="AQ62" s="3"/>
    </row>
    <row r="63" spans="1:44">
      <c r="I63" s="6"/>
      <c r="J63" s="25" t="s">
        <v>15</v>
      </c>
      <c r="K63" s="25"/>
      <c r="L63" s="28" t="s">
        <v>18</v>
      </c>
      <c r="M63" s="27" t="s">
        <v>20</v>
      </c>
      <c r="N63" s="19" t="s">
        <v>25</v>
      </c>
      <c r="O63" s="29" t="s">
        <v>27</v>
      </c>
      <c r="P63" s="20" t="s">
        <v>13</v>
      </c>
      <c r="Q63" s="21" t="s">
        <v>39</v>
      </c>
      <c r="R63" s="22"/>
      <c r="T63" s="17" t="s">
        <v>22</v>
      </c>
      <c r="U63" s="37" t="s">
        <v>38</v>
      </c>
      <c r="Z63" s="46" t="s">
        <v>42</v>
      </c>
      <c r="AB63" s="50" t="s">
        <v>22</v>
      </c>
      <c r="AC63" s="3"/>
      <c r="AD63" s="48" t="s">
        <v>52</v>
      </c>
      <c r="AE63" s="20" t="s">
        <v>13</v>
      </c>
      <c r="AF63" s="25" t="s">
        <v>15</v>
      </c>
      <c r="AG63" s="17" t="s">
        <v>22</v>
      </c>
      <c r="AH63" s="49" t="s">
        <v>51</v>
      </c>
      <c r="AI63" s="3"/>
      <c r="AJ63" s="41" t="s">
        <v>41</v>
      </c>
      <c r="AK63" s="66"/>
      <c r="AL63" s="3"/>
      <c r="AM63" s="3"/>
      <c r="AN63" s="3"/>
      <c r="AO63" s="3"/>
      <c r="AP63" s="3"/>
      <c r="AQ63" s="3"/>
    </row>
    <row r="64" spans="1:44" hidden="1">
      <c r="I64" s="6"/>
      <c r="AI64" s="3"/>
      <c r="AJ64" s="3"/>
      <c r="AK64" s="3"/>
      <c r="AL64" s="3"/>
      <c r="AM64" s="3"/>
      <c r="AN64" s="3"/>
      <c r="AO64" s="3"/>
      <c r="AP64" s="3"/>
      <c r="AQ64" s="3"/>
    </row>
    <row r="65" spans="1:46"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93" t="s">
        <v>114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1:46">
      <c r="J66" s="9">
        <v>14</v>
      </c>
      <c r="K66" s="56">
        <f t="shared" ref="K66" si="19">J66+1</f>
        <v>15</v>
      </c>
      <c r="L66" s="70">
        <f t="shared" ref="L66" si="20">K66+1</f>
        <v>16</v>
      </c>
      <c r="M66" s="70">
        <f t="shared" ref="M66" si="21">L66+1</f>
        <v>17</v>
      </c>
      <c r="N66" s="9">
        <f t="shared" ref="N66" si="22">M66+1</f>
        <v>18</v>
      </c>
      <c r="O66" s="9">
        <f t="shared" ref="O66" si="23">N66+1</f>
        <v>19</v>
      </c>
      <c r="P66" s="9">
        <f t="shared" ref="P66" si="24">O66+1</f>
        <v>20</v>
      </c>
      <c r="Q66" s="9">
        <f t="shared" ref="Q66" si="25">P66+1</f>
        <v>21</v>
      </c>
      <c r="R66" s="9">
        <f t="shared" ref="R66" si="26">Q66+1</f>
        <v>22</v>
      </c>
      <c r="S66" s="9">
        <f t="shared" ref="S66" si="27">R66+1</f>
        <v>23</v>
      </c>
      <c r="T66" s="9">
        <f t="shared" ref="T66" si="28">S66+1</f>
        <v>24</v>
      </c>
      <c r="U66" s="110">
        <f t="shared" ref="U66" si="29">T66+1</f>
        <v>25</v>
      </c>
      <c r="V66" s="110">
        <f t="shared" ref="V66" si="30">U66+1</f>
        <v>26</v>
      </c>
      <c r="W66" s="9">
        <f t="shared" ref="W66:X66" si="31">V66+1</f>
        <v>27</v>
      </c>
      <c r="X66" s="9">
        <f t="shared" si="31"/>
        <v>28</v>
      </c>
      <c r="Y66" s="87">
        <v>1</v>
      </c>
      <c r="Z66" s="87">
        <f t="shared" ref="Z66" si="32">Y66+1</f>
        <v>2</v>
      </c>
      <c r="AA66" s="87">
        <f t="shared" ref="AA66" si="33">Z66+1</f>
        <v>3</v>
      </c>
      <c r="AB66" s="87">
        <f t="shared" ref="AB66" si="34">AA66+1</f>
        <v>4</v>
      </c>
      <c r="AC66" s="9">
        <f t="shared" ref="AC66" si="35">AB66+1</f>
        <v>5</v>
      </c>
      <c r="AD66" s="9">
        <f t="shared" ref="AD66" si="36">AC66+1</f>
        <v>6</v>
      </c>
      <c r="AE66" s="9">
        <f t="shared" ref="AE66" si="37">AD66+1</f>
        <v>7</v>
      </c>
      <c r="AF66" s="9">
        <f t="shared" ref="AF66" si="38">AE66+1</f>
        <v>8</v>
      </c>
      <c r="AG66" s="9">
        <f t="shared" ref="AG66" si="39">AF66+1</f>
        <v>9</v>
      </c>
      <c r="AH66" s="13">
        <f t="shared" ref="AH66" si="40">AG66+1</f>
        <v>10</v>
      </c>
      <c r="AI66" s="13">
        <f t="shared" ref="AI66" si="41">AH66+1</f>
        <v>11</v>
      </c>
      <c r="AJ66" s="13">
        <f t="shared" ref="AJ66" si="42">AI66+1</f>
        <v>12</v>
      </c>
      <c r="AK66" s="9">
        <f t="shared" ref="AK66" si="43">AJ66+1</f>
        <v>13</v>
      </c>
      <c r="AL66" s="9">
        <f t="shared" ref="AL66" si="44">AK66+1</f>
        <v>14</v>
      </c>
      <c r="AM66" s="9">
        <f t="shared" ref="AM66" si="45">AL66+1</f>
        <v>15</v>
      </c>
      <c r="AN66" s="9">
        <f t="shared" ref="AN66" si="46">AM66+1</f>
        <v>16</v>
      </c>
      <c r="AO66" s="56">
        <f t="shared" ref="AO66" si="47">AN66+1</f>
        <v>17</v>
      </c>
      <c r="AP66" s="57">
        <f t="shared" ref="AP66" si="48">AO66+1</f>
        <v>18</v>
      </c>
      <c r="AQ66" s="70">
        <f>AP66+1</f>
        <v>19</v>
      </c>
      <c r="AR66" s="111">
        <f>AQ66+1</f>
        <v>20</v>
      </c>
      <c r="AS66" s="112"/>
      <c r="AT66" s="112"/>
    </row>
    <row r="67" spans="1:46" ht="15.6" thickBot="1">
      <c r="J67" s="31" t="s">
        <v>28</v>
      </c>
      <c r="K67" s="71" t="s">
        <v>29</v>
      </c>
      <c r="L67" s="59" t="s">
        <v>30</v>
      </c>
      <c r="M67" s="30" t="s">
        <v>31</v>
      </c>
      <c r="N67" s="30" t="s">
        <v>32</v>
      </c>
      <c r="O67" s="30" t="s">
        <v>33</v>
      </c>
      <c r="P67" s="30" t="s">
        <v>34</v>
      </c>
      <c r="Q67" s="31" t="s">
        <v>28</v>
      </c>
      <c r="R67" s="32" t="s">
        <v>29</v>
      </c>
      <c r="S67" s="32" t="s">
        <v>12</v>
      </c>
      <c r="T67" s="30" t="s">
        <v>31</v>
      </c>
      <c r="U67" s="30" t="s">
        <v>32</v>
      </c>
      <c r="V67" s="30" t="s">
        <v>33</v>
      </c>
      <c r="W67" s="30" t="s">
        <v>34</v>
      </c>
      <c r="X67" s="31" t="s">
        <v>28</v>
      </c>
      <c r="Y67" s="32" t="s">
        <v>29</v>
      </c>
      <c r="Z67" s="104" t="s">
        <v>119</v>
      </c>
      <c r="AA67" s="30" t="s">
        <v>31</v>
      </c>
      <c r="AB67" s="30" t="s">
        <v>32</v>
      </c>
      <c r="AC67" s="30" t="s">
        <v>33</v>
      </c>
      <c r="AD67" s="30" t="s">
        <v>34</v>
      </c>
      <c r="AE67" s="31" t="s">
        <v>28</v>
      </c>
      <c r="AF67" s="32" t="s">
        <v>29</v>
      </c>
      <c r="AG67" s="30" t="s">
        <v>30</v>
      </c>
      <c r="AH67" s="30" t="s">
        <v>31</v>
      </c>
      <c r="AI67" s="30" t="s">
        <v>32</v>
      </c>
      <c r="AJ67" s="30" t="s">
        <v>33</v>
      </c>
      <c r="AK67" s="30" t="s">
        <v>34</v>
      </c>
      <c r="AL67" s="31" t="s">
        <v>28</v>
      </c>
      <c r="AM67" s="32" t="s">
        <v>29</v>
      </c>
      <c r="AN67" s="30" t="s">
        <v>30</v>
      </c>
      <c r="AO67" s="58" t="s">
        <v>31</v>
      </c>
      <c r="AP67" s="59" t="s">
        <v>32</v>
      </c>
      <c r="AQ67" s="30" t="s">
        <v>33</v>
      </c>
      <c r="AR67" s="32" t="s">
        <v>34</v>
      </c>
    </row>
    <row r="68" spans="1:46" ht="18" customHeight="1" thickTop="1" thickBot="1">
      <c r="A68" s="302" t="s">
        <v>10</v>
      </c>
      <c r="B68" s="302"/>
      <c r="C68" s="302"/>
      <c r="D68" s="302"/>
      <c r="E68" s="302"/>
      <c r="F68" s="302"/>
      <c r="H68" s="303" t="s">
        <v>72</v>
      </c>
      <c r="I68" s="304"/>
      <c r="J68" s="11"/>
      <c r="K68" s="61"/>
      <c r="L68" s="60" t="s">
        <v>96</v>
      </c>
      <c r="M68" s="28" t="s">
        <v>78</v>
      </c>
      <c r="N68" s="28" t="s">
        <v>78</v>
      </c>
      <c r="O68" s="11" t="s">
        <v>11</v>
      </c>
      <c r="P68" s="288" t="s">
        <v>131</v>
      </c>
      <c r="Q68" s="289"/>
      <c r="R68" s="11" t="s">
        <v>11</v>
      </c>
      <c r="S68" s="288" t="s">
        <v>115</v>
      </c>
      <c r="T68" s="289"/>
      <c r="U68" s="11"/>
      <c r="V68" s="11"/>
      <c r="W68" s="288" t="s">
        <v>131</v>
      </c>
      <c r="X68" s="289"/>
      <c r="Y68" s="11" t="s">
        <v>11</v>
      </c>
      <c r="Z68" s="288" t="s">
        <v>115</v>
      </c>
      <c r="AA68" s="289"/>
      <c r="AB68" s="313" t="s">
        <v>77</v>
      </c>
      <c r="AC68" s="313"/>
      <c r="AD68" s="288" t="s">
        <v>141</v>
      </c>
      <c r="AE68" s="289"/>
      <c r="AF68" s="11" t="s">
        <v>11</v>
      </c>
      <c r="AG68" s="11" t="s">
        <v>96</v>
      </c>
      <c r="AH68" s="116" t="s">
        <v>71</v>
      </c>
      <c r="AI68" s="28" t="s">
        <v>78</v>
      </c>
      <c r="AJ68" s="38" t="s">
        <v>47</v>
      </c>
      <c r="AK68" s="11"/>
      <c r="AL68" s="94" t="s">
        <v>16</v>
      </c>
      <c r="AM68" s="11" t="s">
        <v>11</v>
      </c>
      <c r="AN68" s="11" t="s">
        <v>96</v>
      </c>
      <c r="AO68" s="61"/>
      <c r="AP68" s="60"/>
      <c r="AQ68" s="62"/>
      <c r="AR68" s="35"/>
      <c r="AS68" s="52"/>
    </row>
    <row r="69" spans="1:46" ht="18" customHeight="1" thickTop="1" thickBot="1">
      <c r="A69" s="302"/>
      <c r="B69" s="302"/>
      <c r="C69" s="302"/>
      <c r="D69" s="302"/>
      <c r="E69" s="302"/>
      <c r="F69" s="302"/>
      <c r="H69" s="305"/>
      <c r="I69" s="306"/>
      <c r="J69" s="80"/>
      <c r="K69" s="85"/>
      <c r="L69" s="95" t="s">
        <v>37</v>
      </c>
      <c r="M69" s="81" t="s">
        <v>78</v>
      </c>
      <c r="N69" s="28" t="s">
        <v>78</v>
      </c>
      <c r="O69" s="80" t="s">
        <v>11</v>
      </c>
      <c r="P69" s="290"/>
      <c r="Q69" s="291"/>
      <c r="R69" s="7" t="s">
        <v>11</v>
      </c>
      <c r="S69" s="290"/>
      <c r="T69" s="291"/>
      <c r="U69" s="80"/>
      <c r="V69" s="80"/>
      <c r="W69" s="290"/>
      <c r="X69" s="291"/>
      <c r="Y69" s="7" t="s">
        <v>11</v>
      </c>
      <c r="Z69" s="290"/>
      <c r="AA69" s="291"/>
      <c r="AB69" s="314"/>
      <c r="AC69" s="314"/>
      <c r="AD69" s="290"/>
      <c r="AE69" s="291"/>
      <c r="AF69" s="7" t="s">
        <v>11</v>
      </c>
      <c r="AG69" s="80" t="s">
        <v>37</v>
      </c>
      <c r="AH69" s="80"/>
      <c r="AI69" s="81" t="s">
        <v>78</v>
      </c>
      <c r="AJ69" s="82" t="s">
        <v>15</v>
      </c>
      <c r="AK69" s="80"/>
      <c r="AL69" s="20" t="s">
        <v>13</v>
      </c>
      <c r="AM69" s="7" t="s">
        <v>11</v>
      </c>
      <c r="AN69" s="80"/>
      <c r="AO69" s="85"/>
      <c r="AP69" s="96"/>
      <c r="AQ69" s="97"/>
      <c r="AR69" s="98"/>
    </row>
    <row r="70" spans="1:46" ht="18" customHeight="1" thickTop="1" thickBot="1">
      <c r="A70" s="302"/>
      <c r="B70" s="302"/>
      <c r="C70" s="302"/>
      <c r="D70" s="302"/>
      <c r="E70" s="302"/>
      <c r="F70" s="302"/>
      <c r="H70" s="305" t="s">
        <v>57</v>
      </c>
      <c r="I70" s="306"/>
      <c r="J70" s="15" t="s">
        <v>16</v>
      </c>
      <c r="K70" s="67" t="s">
        <v>78</v>
      </c>
      <c r="L70" s="78" t="s">
        <v>11</v>
      </c>
      <c r="M70" s="90" t="s">
        <v>47</v>
      </c>
      <c r="N70" s="78" t="s">
        <v>11</v>
      </c>
      <c r="O70" s="83" t="s">
        <v>78</v>
      </c>
      <c r="P70" s="78" t="s">
        <v>11</v>
      </c>
      <c r="Q70" s="94" t="s">
        <v>16</v>
      </c>
      <c r="R70" s="78" t="s">
        <v>11</v>
      </c>
      <c r="S70" s="83" t="s">
        <v>78</v>
      </c>
      <c r="T70" s="83" t="s">
        <v>78</v>
      </c>
      <c r="U70" s="83" t="s">
        <v>78</v>
      </c>
      <c r="V70" s="90" t="s">
        <v>47</v>
      </c>
      <c r="W70" s="78" t="s">
        <v>11</v>
      </c>
      <c r="X70" s="84" t="s">
        <v>78</v>
      </c>
      <c r="Y70" s="106" t="s">
        <v>56</v>
      </c>
      <c r="Z70" s="106" t="s">
        <v>56</v>
      </c>
      <c r="AA70" s="106" t="s">
        <v>56</v>
      </c>
      <c r="AB70" s="106" t="s">
        <v>56</v>
      </c>
      <c r="AC70" s="78" t="s">
        <v>11</v>
      </c>
      <c r="AD70" s="78" t="s">
        <v>11</v>
      </c>
      <c r="AE70" s="83" t="s">
        <v>78</v>
      </c>
      <c r="AF70" s="83" t="s">
        <v>78</v>
      </c>
      <c r="AG70" s="106" t="s">
        <v>11</v>
      </c>
      <c r="AH70" s="117" t="s">
        <v>78</v>
      </c>
      <c r="AI70" s="103" t="s">
        <v>37</v>
      </c>
      <c r="AJ70" s="90" t="s">
        <v>47</v>
      </c>
      <c r="AK70" s="78" t="s">
        <v>11</v>
      </c>
      <c r="AL70" s="94" t="s">
        <v>16</v>
      </c>
      <c r="AM70" s="83" t="s">
        <v>78</v>
      </c>
      <c r="AN70" s="106" t="s">
        <v>11</v>
      </c>
      <c r="AO70" s="83" t="s">
        <v>78</v>
      </c>
      <c r="AP70" s="78" t="s">
        <v>11</v>
      </c>
      <c r="AQ70" s="83" t="s">
        <v>78</v>
      </c>
      <c r="AR70" s="102"/>
      <c r="AS70" s="54"/>
      <c r="AT70" s="52"/>
    </row>
    <row r="71" spans="1:46" ht="18" customHeight="1" thickTop="1">
      <c r="A71" s="302"/>
      <c r="B71" s="302"/>
      <c r="C71" s="302"/>
      <c r="D71" s="302"/>
      <c r="E71" s="302"/>
      <c r="F71" s="302"/>
      <c r="H71" s="307"/>
      <c r="I71" s="308"/>
      <c r="J71" s="20" t="s">
        <v>13</v>
      </c>
      <c r="K71" s="67" t="s">
        <v>78</v>
      </c>
      <c r="L71" s="11"/>
      <c r="M71" s="25" t="s">
        <v>15</v>
      </c>
      <c r="N71" s="64"/>
      <c r="O71" s="95" t="s">
        <v>37</v>
      </c>
      <c r="P71" s="11"/>
      <c r="Q71" s="20" t="s">
        <v>13</v>
      </c>
      <c r="R71" s="107" t="s">
        <v>58</v>
      </c>
      <c r="S71" s="28" t="s">
        <v>78</v>
      </c>
      <c r="T71" s="28" t="s">
        <v>78</v>
      </c>
      <c r="U71" s="28" t="s">
        <v>78</v>
      </c>
      <c r="V71" s="25" t="s">
        <v>15</v>
      </c>
      <c r="W71" s="11"/>
      <c r="X71" s="39" t="s">
        <v>78</v>
      </c>
      <c r="Y71" s="297" t="s">
        <v>145</v>
      </c>
      <c r="Z71" s="298"/>
      <c r="AA71" s="298"/>
      <c r="AB71" s="299"/>
      <c r="AC71" s="11"/>
      <c r="AD71" s="11"/>
      <c r="AE71" s="28" t="s">
        <v>78</v>
      </c>
      <c r="AF71" s="28" t="s">
        <v>78</v>
      </c>
      <c r="AG71" s="317" t="s">
        <v>140</v>
      </c>
      <c r="AH71" s="67" t="s">
        <v>78</v>
      </c>
      <c r="AI71" s="43" t="s">
        <v>147</v>
      </c>
      <c r="AJ71" s="25" t="s">
        <v>15</v>
      </c>
      <c r="AK71" s="11"/>
      <c r="AL71" s="20" t="s">
        <v>13</v>
      </c>
      <c r="AM71" s="28" t="s">
        <v>78</v>
      </c>
      <c r="AN71" s="11"/>
      <c r="AO71" s="28" t="s">
        <v>78</v>
      </c>
      <c r="AP71" s="11"/>
      <c r="AQ71" s="28" t="s">
        <v>78</v>
      </c>
      <c r="AR71" s="35"/>
      <c r="AS71" s="4"/>
    </row>
    <row r="72" spans="1:46" ht="18" customHeight="1">
      <c r="H72" s="309"/>
      <c r="I72" s="3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318"/>
      <c r="AH72" s="61"/>
      <c r="AI72" s="60"/>
      <c r="AJ72" s="11"/>
      <c r="AK72" s="11"/>
      <c r="AL72" s="11"/>
      <c r="AM72" s="11"/>
      <c r="AN72" s="11"/>
      <c r="AO72" s="11"/>
      <c r="AP72" s="11"/>
      <c r="AQ72" s="11"/>
      <c r="AR72" s="35"/>
    </row>
    <row r="73" spans="1:46" ht="18" customHeight="1">
      <c r="H73" s="311"/>
      <c r="I73" s="312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D73" s="11"/>
      <c r="AE73" s="11"/>
      <c r="AF73" s="11"/>
      <c r="AG73" s="318"/>
      <c r="AH73" s="61"/>
      <c r="AI73" s="60"/>
      <c r="AJ73" s="11"/>
      <c r="AK73" s="11"/>
      <c r="AL73" s="11"/>
      <c r="AM73" s="11"/>
      <c r="AN73" s="11"/>
      <c r="AO73" s="11"/>
      <c r="AP73" s="11"/>
      <c r="AQ73" s="11"/>
      <c r="AR73" s="35"/>
    </row>
    <row r="74" spans="1:46" ht="18" customHeight="1">
      <c r="H74" s="300" t="s">
        <v>55</v>
      </c>
      <c r="I74" s="300"/>
      <c r="J74" s="11"/>
      <c r="K74" s="61"/>
      <c r="L74" s="6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B74" s="11"/>
      <c r="AC74" s="11"/>
      <c r="AD74" s="11"/>
      <c r="AE74" s="11"/>
      <c r="AF74" s="11"/>
      <c r="AG74" s="319"/>
      <c r="AH74" s="11"/>
      <c r="AI74" s="11"/>
      <c r="AJ74" s="11"/>
      <c r="AK74" s="11"/>
      <c r="AL74" s="11"/>
      <c r="AM74" s="11"/>
      <c r="AN74" s="11"/>
      <c r="AO74" s="61"/>
      <c r="AP74" s="60"/>
      <c r="AQ74" s="62"/>
      <c r="AR74" s="35"/>
    </row>
    <row r="75" spans="1:46" ht="18" customHeight="1">
      <c r="H75" s="300"/>
      <c r="I75" s="300"/>
      <c r="J75" s="11"/>
      <c r="K75" s="61"/>
      <c r="L75" s="6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61"/>
      <c r="AP75" s="60"/>
      <c r="AQ75" s="62"/>
      <c r="AR75" s="35"/>
    </row>
    <row r="76" spans="1:46" ht="18" customHeight="1">
      <c r="H76" s="300"/>
      <c r="I76" s="300"/>
      <c r="J76" s="11"/>
      <c r="K76" s="10"/>
      <c r="L76" s="6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61"/>
      <c r="AP76" s="60"/>
      <c r="AQ76" s="62"/>
      <c r="AR76" s="35"/>
    </row>
    <row r="77" spans="1:46" ht="18" customHeight="1">
      <c r="H77" s="300"/>
      <c r="I77" s="300"/>
      <c r="J77" s="11"/>
      <c r="K77" s="10"/>
      <c r="L77" s="6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61"/>
      <c r="AP77" s="60"/>
      <c r="AQ77" s="62"/>
      <c r="AR77" s="35"/>
    </row>
  </sheetData>
  <mergeCells count="261">
    <mergeCell ref="G6:G7"/>
    <mergeCell ref="H6:H7"/>
    <mergeCell ref="I6:I7"/>
    <mergeCell ref="G8:G9"/>
    <mergeCell ref="H8:H9"/>
    <mergeCell ref="I8:I9"/>
    <mergeCell ref="A8:A9"/>
    <mergeCell ref="B8:B9"/>
    <mergeCell ref="C8:C9"/>
    <mergeCell ref="D8:D9"/>
    <mergeCell ref="E8:E9"/>
    <mergeCell ref="F8:F9"/>
    <mergeCell ref="AG71:AG74"/>
    <mergeCell ref="A1:AQ1"/>
    <mergeCell ref="AO2:AQ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6:A7"/>
    <mergeCell ref="B6:B7"/>
    <mergeCell ref="C6:C7"/>
    <mergeCell ref="D6:D7"/>
    <mergeCell ref="E6:E7"/>
    <mergeCell ref="F6:F7"/>
    <mergeCell ref="H10:H11"/>
    <mergeCell ref="I10:I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0:A11"/>
    <mergeCell ref="B10:B11"/>
    <mergeCell ref="C10:C11"/>
    <mergeCell ref="D10:D11"/>
    <mergeCell ref="E10:E11"/>
    <mergeCell ref="F10:F11"/>
    <mergeCell ref="G10:G11"/>
    <mergeCell ref="A14:A15"/>
    <mergeCell ref="B14:B15"/>
    <mergeCell ref="C14:C15"/>
    <mergeCell ref="D14:D15"/>
    <mergeCell ref="F14:F15"/>
    <mergeCell ref="G14:G15"/>
    <mergeCell ref="H14:H15"/>
    <mergeCell ref="I14:I15"/>
    <mergeCell ref="H18:H19"/>
    <mergeCell ref="I18:I19"/>
    <mergeCell ref="G16:G17"/>
    <mergeCell ref="H16:H17"/>
    <mergeCell ref="I16:I17"/>
    <mergeCell ref="A18:A19"/>
    <mergeCell ref="B18:B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F16:F17"/>
    <mergeCell ref="I20:I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20:A21"/>
    <mergeCell ref="B20:B21"/>
    <mergeCell ref="C20:C21"/>
    <mergeCell ref="D20:D21"/>
    <mergeCell ref="E20:E21"/>
    <mergeCell ref="F20:F21"/>
    <mergeCell ref="G20:G21"/>
    <mergeCell ref="H20:H21"/>
    <mergeCell ref="G24:G25"/>
    <mergeCell ref="H24:H25"/>
    <mergeCell ref="I24:I25"/>
    <mergeCell ref="A26:A27"/>
    <mergeCell ref="B26:B27"/>
    <mergeCell ref="C26:C27"/>
    <mergeCell ref="D26:D27"/>
    <mergeCell ref="E26:E27"/>
    <mergeCell ref="F26:F27"/>
    <mergeCell ref="G26:G27"/>
    <mergeCell ref="A24:A25"/>
    <mergeCell ref="B24:B25"/>
    <mergeCell ref="C24:C25"/>
    <mergeCell ref="D24:D25"/>
    <mergeCell ref="E24:E25"/>
    <mergeCell ref="F24:F25"/>
    <mergeCell ref="H26:H27"/>
    <mergeCell ref="I26:I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G36:G37"/>
    <mergeCell ref="H36:H37"/>
    <mergeCell ref="I36:I37"/>
    <mergeCell ref="A38:A39"/>
    <mergeCell ref="B38:B39"/>
    <mergeCell ref="C38:C39"/>
    <mergeCell ref="D38:D39"/>
    <mergeCell ref="E38:E39"/>
    <mergeCell ref="F38:F39"/>
    <mergeCell ref="G38:G39"/>
    <mergeCell ref="A36:A37"/>
    <mergeCell ref="B36:B37"/>
    <mergeCell ref="C36:C37"/>
    <mergeCell ref="D36:D37"/>
    <mergeCell ref="E36:E37"/>
    <mergeCell ref="F36:F37"/>
    <mergeCell ref="H38:H39"/>
    <mergeCell ref="I38:I39"/>
    <mergeCell ref="G42:G43"/>
    <mergeCell ref="H42:H43"/>
    <mergeCell ref="I42:I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I48:I49"/>
    <mergeCell ref="G44:G45"/>
    <mergeCell ref="H44:H45"/>
    <mergeCell ref="I44:I45"/>
    <mergeCell ref="A46:A47"/>
    <mergeCell ref="B46:B47"/>
    <mergeCell ref="C46:C47"/>
    <mergeCell ref="D46:D47"/>
    <mergeCell ref="E46:E47"/>
    <mergeCell ref="F46:F47"/>
    <mergeCell ref="G46:G47"/>
    <mergeCell ref="A44:A45"/>
    <mergeCell ref="B44:B45"/>
    <mergeCell ref="C44:C45"/>
    <mergeCell ref="D44:D45"/>
    <mergeCell ref="E44:E45"/>
    <mergeCell ref="F44:F45"/>
    <mergeCell ref="H46:H47"/>
    <mergeCell ref="I46:I47"/>
    <mergeCell ref="H54:H55"/>
    <mergeCell ref="I54:I55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D52:D53"/>
    <mergeCell ref="I32:I33"/>
    <mergeCell ref="Y71:AB71"/>
    <mergeCell ref="H74:I75"/>
    <mergeCell ref="H76:I77"/>
    <mergeCell ref="I56:I57"/>
    <mergeCell ref="B61:D61"/>
    <mergeCell ref="E61:F61"/>
    <mergeCell ref="A68:F71"/>
    <mergeCell ref="H68:I69"/>
    <mergeCell ref="H70:I71"/>
    <mergeCell ref="A56:A57"/>
    <mergeCell ref="B56:B57"/>
    <mergeCell ref="C56:C57"/>
    <mergeCell ref="D56:D57"/>
    <mergeCell ref="E56:E57"/>
    <mergeCell ref="F56:F57"/>
    <mergeCell ref="G56:G57"/>
    <mergeCell ref="H56:H57"/>
    <mergeCell ref="H72:I73"/>
    <mergeCell ref="P68:Q69"/>
    <mergeCell ref="S68:T69"/>
    <mergeCell ref="W68:X69"/>
    <mergeCell ref="Z68:AA69"/>
    <mergeCell ref="AB68:AC69"/>
    <mergeCell ref="A32:A33"/>
    <mergeCell ref="B32:B33"/>
    <mergeCell ref="C32:C33"/>
    <mergeCell ref="D32:D33"/>
    <mergeCell ref="E32:E33"/>
    <mergeCell ref="F32:F33"/>
    <mergeCell ref="G32:G33"/>
    <mergeCell ref="H32:H33"/>
    <mergeCell ref="E52:E53"/>
    <mergeCell ref="F52:F53"/>
    <mergeCell ref="A48:A49"/>
    <mergeCell ref="B48:B49"/>
    <mergeCell ref="C48:C49"/>
    <mergeCell ref="D48:D49"/>
    <mergeCell ref="E48:E49"/>
    <mergeCell ref="F48:F49"/>
    <mergeCell ref="G48:G49"/>
    <mergeCell ref="H48:H49"/>
    <mergeCell ref="A42:A43"/>
    <mergeCell ref="B42:B43"/>
    <mergeCell ref="C42:C43"/>
    <mergeCell ref="D42:D43"/>
    <mergeCell ref="E42:E43"/>
    <mergeCell ref="F42:F43"/>
    <mergeCell ref="E14:E15"/>
    <mergeCell ref="AD68:AE69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G52:G53"/>
    <mergeCell ref="H52:H53"/>
    <mergeCell ref="I52:I53"/>
    <mergeCell ref="A54:A55"/>
    <mergeCell ref="B54:B55"/>
    <mergeCell ref="C54:C55"/>
    <mergeCell ref="D54:D55"/>
    <mergeCell ref="E54:E55"/>
    <mergeCell ref="F54:F55"/>
    <mergeCell ref="G54:G55"/>
    <mergeCell ref="A52:A53"/>
    <mergeCell ref="B52:B53"/>
    <mergeCell ref="C52:C53"/>
  </mergeCells>
  <phoneticPr fontId="3"/>
  <printOptions horizontalCentered="1"/>
  <pageMargins left="0.31496062992125984" right="0.31496062992125984" top="0.74803149606299213" bottom="0.74803149606299213" header="0.31496062992125984" footer="0.31496062992125984"/>
  <pageSetup paperSize="8" scale="7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0340-3DA3-4C4C-BEEA-42A4F7FDE604}">
  <sheetPr>
    <pageSetUpPr fitToPage="1"/>
  </sheetPr>
  <dimension ref="A1:AU73"/>
  <sheetViews>
    <sheetView workbookViewId="0">
      <selection activeCell="S22" sqref="S22:S23"/>
    </sheetView>
  </sheetViews>
  <sheetFormatPr defaultColWidth="8.69921875" defaultRowHeight="15" outlineLevelRow="1"/>
  <cols>
    <col min="1" max="1" width="4.19921875" style="1" bestFit="1" customWidth="1"/>
    <col min="2" max="3" width="5.19921875" style="1" customWidth="1"/>
    <col min="4" max="6" width="9.69921875" style="1" customWidth="1"/>
    <col min="7" max="7" width="10.19921875" style="1" bestFit="1" customWidth="1"/>
    <col min="8" max="8" width="10.69921875" style="1" customWidth="1"/>
    <col min="9" max="9" width="12.59765625" style="1" bestFit="1" customWidth="1"/>
    <col min="10" max="45" width="5.19921875" style="1" customWidth="1"/>
    <col min="46" max="46" width="19.09765625" style="1" customWidth="1"/>
    <col min="47" max="47" width="10.59765625" style="1" customWidth="1"/>
    <col min="48" max="16384" width="8.69921875" style="1"/>
  </cols>
  <sheetData>
    <row r="1" spans="1:45" ht="18.600000000000001">
      <c r="A1" s="320" t="s">
        <v>120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8"/>
    </row>
    <row r="2" spans="1:45" ht="15" customHeight="1">
      <c r="A2" s="2"/>
      <c r="J2" s="42"/>
      <c r="K2" s="42"/>
      <c r="L2" s="42"/>
      <c r="M2" s="42"/>
      <c r="W2" s="5"/>
      <c r="X2" s="5"/>
      <c r="Y2" s="5"/>
      <c r="Z2" s="5"/>
      <c r="AA2" s="5"/>
      <c r="AB2" s="5"/>
      <c r="AC2" s="5"/>
      <c r="AO2" s="321">
        <f ca="1">TODAY()</f>
        <v>46177</v>
      </c>
      <c r="AP2" s="321"/>
      <c r="AQ2" s="321"/>
      <c r="AR2" s="105"/>
    </row>
    <row r="3" spans="1:45" ht="19.95" customHeight="1">
      <c r="A3" s="51" t="s">
        <v>53</v>
      </c>
      <c r="E3" s="2"/>
      <c r="F3" s="12"/>
      <c r="G3" s="12"/>
      <c r="H3" s="12"/>
      <c r="I3" s="12"/>
      <c r="J3" s="5">
        <f>COUNTA(J6:J53)*0.5</f>
        <v>2</v>
      </c>
      <c r="K3" s="5"/>
      <c r="L3" s="5">
        <f t="shared" ref="L3:AQ3" si="0">COUNTA(L6:L53)*0.5</f>
        <v>1.5</v>
      </c>
      <c r="M3" s="5">
        <f t="shared" si="0"/>
        <v>2</v>
      </c>
      <c r="N3" s="5">
        <f t="shared" si="0"/>
        <v>5</v>
      </c>
      <c r="O3" s="5">
        <f t="shared" si="0"/>
        <v>5</v>
      </c>
      <c r="P3" s="5">
        <f t="shared" si="0"/>
        <v>6</v>
      </c>
      <c r="Q3" s="5">
        <f t="shared" si="0"/>
        <v>2</v>
      </c>
      <c r="R3" s="5">
        <f t="shared" si="0"/>
        <v>3</v>
      </c>
      <c r="S3" s="5">
        <f t="shared" si="0"/>
        <v>2</v>
      </c>
      <c r="T3" s="5">
        <f t="shared" si="0"/>
        <v>1.5</v>
      </c>
      <c r="U3" s="5">
        <f t="shared" si="0"/>
        <v>2.5</v>
      </c>
      <c r="V3" s="5">
        <f t="shared" si="0"/>
        <v>5</v>
      </c>
      <c r="W3" s="5">
        <f t="shared" si="0"/>
        <v>4</v>
      </c>
      <c r="X3" s="5">
        <f t="shared" si="0"/>
        <v>3</v>
      </c>
      <c r="Y3" s="5">
        <f t="shared" si="0"/>
        <v>3</v>
      </c>
      <c r="Z3" s="5">
        <f t="shared" si="0"/>
        <v>2</v>
      </c>
      <c r="AA3" s="5">
        <f t="shared" si="0"/>
        <v>3</v>
      </c>
      <c r="AB3" s="5">
        <f t="shared" si="0"/>
        <v>2</v>
      </c>
      <c r="AC3" s="5">
        <f t="shared" si="0"/>
        <v>2</v>
      </c>
      <c r="AD3" s="5">
        <f t="shared" si="0"/>
        <v>3</v>
      </c>
      <c r="AE3" s="5">
        <f t="shared" si="0"/>
        <v>1</v>
      </c>
      <c r="AF3" s="5">
        <f t="shared" si="0"/>
        <v>0.5</v>
      </c>
      <c r="AG3" s="5">
        <f t="shared" si="0"/>
        <v>1</v>
      </c>
      <c r="AH3" s="5">
        <f t="shared" si="0"/>
        <v>2</v>
      </c>
      <c r="AI3" s="5">
        <f t="shared" si="0"/>
        <v>1</v>
      </c>
      <c r="AJ3" s="5">
        <f t="shared" si="0"/>
        <v>1</v>
      </c>
      <c r="AK3" s="5">
        <f t="shared" si="0"/>
        <v>1</v>
      </c>
      <c r="AL3" s="5">
        <f t="shared" si="0"/>
        <v>1</v>
      </c>
      <c r="AM3" s="5">
        <f t="shared" si="0"/>
        <v>1</v>
      </c>
      <c r="AN3" s="5">
        <f t="shared" si="0"/>
        <v>1</v>
      </c>
      <c r="AO3" s="5">
        <f t="shared" si="0"/>
        <v>1</v>
      </c>
      <c r="AP3" s="5">
        <f t="shared" si="0"/>
        <v>0</v>
      </c>
      <c r="AQ3" s="5">
        <f t="shared" si="0"/>
        <v>0</v>
      </c>
      <c r="AR3" s="5"/>
    </row>
    <row r="4" spans="1:45" ht="15" customHeight="1">
      <c r="A4" s="322" t="s">
        <v>0</v>
      </c>
      <c r="B4" s="322" t="s">
        <v>1</v>
      </c>
      <c r="C4" s="322" t="s">
        <v>2</v>
      </c>
      <c r="D4" s="322" t="s">
        <v>3</v>
      </c>
      <c r="E4" s="322" t="s">
        <v>4</v>
      </c>
      <c r="F4" s="322" t="s">
        <v>44</v>
      </c>
      <c r="G4" s="322" t="s">
        <v>5</v>
      </c>
      <c r="H4" s="322" t="s">
        <v>6</v>
      </c>
      <c r="I4" s="322" t="s">
        <v>7</v>
      </c>
      <c r="J4" s="9">
        <v>16</v>
      </c>
      <c r="K4" s="56">
        <f t="shared" ref="K4:L4" si="1">J4+1</f>
        <v>17</v>
      </c>
      <c r="L4" s="57">
        <f t="shared" si="1"/>
        <v>18</v>
      </c>
      <c r="M4" s="70">
        <f>L4+1</f>
        <v>19</v>
      </c>
      <c r="N4" s="9">
        <f t="shared" ref="N4:AN4" si="2">M4+1</f>
        <v>20</v>
      </c>
      <c r="O4" s="9">
        <f t="shared" si="2"/>
        <v>21</v>
      </c>
      <c r="P4" s="9">
        <f t="shared" si="2"/>
        <v>22</v>
      </c>
      <c r="Q4" s="9">
        <f t="shared" si="2"/>
        <v>23</v>
      </c>
      <c r="R4" s="9">
        <f t="shared" si="2"/>
        <v>24</v>
      </c>
      <c r="S4" s="9">
        <f t="shared" si="2"/>
        <v>25</v>
      </c>
      <c r="T4" s="9">
        <f t="shared" si="2"/>
        <v>26</v>
      </c>
      <c r="U4" s="9">
        <f t="shared" si="2"/>
        <v>27</v>
      </c>
      <c r="V4" s="9">
        <f t="shared" si="2"/>
        <v>28</v>
      </c>
      <c r="W4" s="9">
        <f t="shared" si="2"/>
        <v>29</v>
      </c>
      <c r="X4" s="9">
        <f t="shared" si="2"/>
        <v>30</v>
      </c>
      <c r="Y4" s="9">
        <f t="shared" si="2"/>
        <v>31</v>
      </c>
      <c r="Z4" s="9">
        <v>1</v>
      </c>
      <c r="AA4" s="9">
        <f t="shared" si="2"/>
        <v>2</v>
      </c>
      <c r="AB4" s="9">
        <f t="shared" si="2"/>
        <v>3</v>
      </c>
      <c r="AC4" s="9">
        <f t="shared" si="2"/>
        <v>4</v>
      </c>
      <c r="AD4" s="9">
        <f t="shared" si="2"/>
        <v>5</v>
      </c>
      <c r="AE4" s="9">
        <f t="shared" si="2"/>
        <v>6</v>
      </c>
      <c r="AF4" s="9">
        <f t="shared" si="2"/>
        <v>7</v>
      </c>
      <c r="AG4" s="9">
        <f t="shared" si="2"/>
        <v>8</v>
      </c>
      <c r="AH4" s="9">
        <f t="shared" si="2"/>
        <v>9</v>
      </c>
      <c r="AI4" s="56">
        <f t="shared" si="2"/>
        <v>10</v>
      </c>
      <c r="AJ4" s="57">
        <f t="shared" si="2"/>
        <v>11</v>
      </c>
      <c r="AK4" s="9">
        <f t="shared" si="2"/>
        <v>12</v>
      </c>
      <c r="AL4" s="9">
        <f t="shared" si="2"/>
        <v>13</v>
      </c>
      <c r="AM4" s="9">
        <f t="shared" si="2"/>
        <v>14</v>
      </c>
      <c r="AN4" s="13">
        <f t="shared" si="2"/>
        <v>15</v>
      </c>
      <c r="AO4" s="13">
        <f t="shared" ref="AO4" si="3">AN4+1</f>
        <v>16</v>
      </c>
      <c r="AP4" s="88">
        <f t="shared" ref="AP4" si="4">AO4+1</f>
        <v>17</v>
      </c>
      <c r="AQ4" s="57">
        <f t="shared" ref="AQ4" si="5">AP4+1</f>
        <v>18</v>
      </c>
      <c r="AR4" s="9">
        <f t="shared" ref="AR4" si="6">AQ4+1</f>
        <v>19</v>
      </c>
      <c r="AS4" s="9">
        <f t="shared" ref="AS4" si="7">AR4+1</f>
        <v>20</v>
      </c>
    </row>
    <row r="5" spans="1:45" ht="15" customHeight="1">
      <c r="A5" s="322"/>
      <c r="B5" s="322"/>
      <c r="C5" s="322"/>
      <c r="D5" s="322"/>
      <c r="E5" s="322"/>
      <c r="F5" s="322"/>
      <c r="G5" s="322"/>
      <c r="H5" s="322"/>
      <c r="I5" s="323"/>
      <c r="J5" s="30" t="s">
        <v>30</v>
      </c>
      <c r="K5" s="58" t="s">
        <v>31</v>
      </c>
      <c r="L5" s="59" t="s">
        <v>32</v>
      </c>
      <c r="M5" s="30" t="s">
        <v>33</v>
      </c>
      <c r="N5" s="124" t="s">
        <v>34</v>
      </c>
      <c r="O5" s="31" t="s">
        <v>28</v>
      </c>
      <c r="P5" s="124" t="s">
        <v>29</v>
      </c>
      <c r="Q5" s="30" t="s">
        <v>30</v>
      </c>
      <c r="R5" s="30" t="s">
        <v>31</v>
      </c>
      <c r="S5" s="30" t="s">
        <v>32</v>
      </c>
      <c r="T5" s="30" t="s">
        <v>33</v>
      </c>
      <c r="U5" s="30" t="s">
        <v>34</v>
      </c>
      <c r="V5" s="31" t="s">
        <v>28</v>
      </c>
      <c r="W5" s="32" t="s">
        <v>29</v>
      </c>
      <c r="X5" s="30" t="s">
        <v>30</v>
      </c>
      <c r="Y5" s="30" t="s">
        <v>31</v>
      </c>
      <c r="Z5" s="30" t="s">
        <v>32</v>
      </c>
      <c r="AA5" s="30" t="s">
        <v>33</v>
      </c>
      <c r="AB5" s="30" t="s">
        <v>34</v>
      </c>
      <c r="AC5" s="31" t="s">
        <v>28</v>
      </c>
      <c r="AD5" s="32" t="s">
        <v>29</v>
      </c>
      <c r="AE5" s="30" t="s">
        <v>30</v>
      </c>
      <c r="AF5" s="30" t="s">
        <v>31</v>
      </c>
      <c r="AG5" s="30" t="s">
        <v>32</v>
      </c>
      <c r="AH5" s="30" t="s">
        <v>33</v>
      </c>
      <c r="AI5" s="58" t="s">
        <v>34</v>
      </c>
      <c r="AJ5" s="73" t="s">
        <v>28</v>
      </c>
      <c r="AK5" s="32" t="s">
        <v>29</v>
      </c>
      <c r="AL5" s="30" t="s">
        <v>30</v>
      </c>
      <c r="AM5" s="30" t="s">
        <v>31</v>
      </c>
      <c r="AN5" s="30" t="s">
        <v>32</v>
      </c>
      <c r="AO5" s="30" t="s">
        <v>33</v>
      </c>
      <c r="AP5" s="58" t="s">
        <v>34</v>
      </c>
      <c r="AQ5" s="73" t="s">
        <v>28</v>
      </c>
      <c r="AR5" s="32" t="s">
        <v>29</v>
      </c>
      <c r="AS5" s="30" t="s">
        <v>30</v>
      </c>
    </row>
    <row r="6" spans="1:45" hidden="1" outlineLevel="1">
      <c r="A6" s="292">
        <v>67</v>
      </c>
      <c r="B6" s="292">
        <v>2</v>
      </c>
      <c r="C6" s="292">
        <v>4</v>
      </c>
      <c r="D6" s="292"/>
      <c r="E6" s="292"/>
      <c r="F6" s="292"/>
      <c r="G6" s="292">
        <v>20252468</v>
      </c>
      <c r="H6" s="292" t="s">
        <v>99</v>
      </c>
      <c r="I6" s="292" t="s">
        <v>106</v>
      </c>
      <c r="J6" s="11"/>
      <c r="K6" s="61"/>
      <c r="L6" s="60"/>
      <c r="M6" s="1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61"/>
      <c r="AQ6" s="60"/>
      <c r="AR6" s="62"/>
      <c r="AS6" s="18"/>
    </row>
    <row r="7" spans="1:45" hidden="1" outlineLevel="1">
      <c r="A7" s="293"/>
      <c r="B7" s="293"/>
      <c r="C7" s="293"/>
      <c r="D7" s="293"/>
      <c r="E7" s="293"/>
      <c r="F7" s="293"/>
      <c r="G7" s="293"/>
      <c r="H7" s="293"/>
      <c r="I7" s="293"/>
      <c r="J7" s="11"/>
      <c r="K7" s="10"/>
      <c r="L7" s="6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61"/>
      <c r="AQ7" s="60"/>
      <c r="AR7" s="62"/>
      <c r="AS7" s="18"/>
    </row>
    <row r="8" spans="1:45" hidden="1" outlineLevel="1">
      <c r="A8" s="292">
        <v>68</v>
      </c>
      <c r="B8" s="292">
        <v>3</v>
      </c>
      <c r="C8" s="292">
        <v>5</v>
      </c>
      <c r="D8" s="292"/>
      <c r="E8" s="292"/>
      <c r="F8" s="292"/>
      <c r="G8" s="292">
        <v>20252470</v>
      </c>
      <c r="H8" s="292" t="s">
        <v>100</v>
      </c>
      <c r="I8" s="292" t="s">
        <v>105</v>
      </c>
      <c r="J8" s="11"/>
      <c r="K8" s="61"/>
      <c r="L8" s="60"/>
      <c r="M8" s="1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61"/>
      <c r="AQ8" s="60"/>
      <c r="AR8" s="62"/>
      <c r="AS8" s="18"/>
    </row>
    <row r="9" spans="1:45" hidden="1" outlineLevel="1">
      <c r="A9" s="293"/>
      <c r="B9" s="293"/>
      <c r="C9" s="293"/>
      <c r="D9" s="293"/>
      <c r="E9" s="293"/>
      <c r="F9" s="293"/>
      <c r="G9" s="293"/>
      <c r="H9" s="293"/>
      <c r="I9" s="293"/>
      <c r="J9" s="11"/>
      <c r="K9" s="10"/>
      <c r="L9" s="6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61"/>
      <c r="AQ9" s="60"/>
      <c r="AR9" s="62"/>
      <c r="AS9" s="18"/>
    </row>
    <row r="10" spans="1:45" hidden="1" outlineLevel="1">
      <c r="A10" s="292">
        <v>69</v>
      </c>
      <c r="B10" s="292">
        <v>4</v>
      </c>
      <c r="C10" s="292">
        <v>8</v>
      </c>
      <c r="D10" s="292"/>
      <c r="E10" s="292"/>
      <c r="F10" s="292"/>
      <c r="G10" s="292">
        <v>20252474</v>
      </c>
      <c r="H10" s="292" t="s">
        <v>101</v>
      </c>
      <c r="I10" s="292" t="s">
        <v>104</v>
      </c>
      <c r="J10" s="11"/>
      <c r="K10" s="61"/>
      <c r="L10" s="60"/>
      <c r="M10" s="1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61"/>
      <c r="AQ10" s="60"/>
      <c r="AR10" s="62"/>
      <c r="AS10" s="18"/>
    </row>
    <row r="11" spans="1:45" hidden="1" outlineLevel="1">
      <c r="A11" s="293"/>
      <c r="B11" s="293"/>
      <c r="C11" s="293"/>
      <c r="D11" s="293"/>
      <c r="E11" s="293"/>
      <c r="F11" s="293"/>
      <c r="G11" s="293"/>
      <c r="H11" s="293"/>
      <c r="I11" s="293"/>
      <c r="J11" s="11"/>
      <c r="K11" s="10"/>
      <c r="L11" s="6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61"/>
      <c r="AQ11" s="60"/>
      <c r="AR11" s="62"/>
      <c r="AS11" s="18"/>
    </row>
    <row r="12" spans="1:45" hidden="1" outlineLevel="1">
      <c r="A12" s="292">
        <v>70</v>
      </c>
      <c r="B12" s="292">
        <v>1</v>
      </c>
      <c r="C12" s="292">
        <v>2</v>
      </c>
      <c r="D12" s="292"/>
      <c r="E12" s="292"/>
      <c r="F12" s="292"/>
      <c r="G12" s="292">
        <v>20252477</v>
      </c>
      <c r="H12" s="292" t="s">
        <v>102</v>
      </c>
      <c r="I12" s="292" t="s">
        <v>107</v>
      </c>
      <c r="J12" s="11"/>
      <c r="K12" s="61"/>
      <c r="L12" s="60"/>
      <c r="M12" s="18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61"/>
      <c r="AQ12" s="60"/>
      <c r="AR12" s="62"/>
      <c r="AS12" s="18"/>
    </row>
    <row r="13" spans="1:45" hidden="1" outlineLevel="1">
      <c r="A13" s="293"/>
      <c r="B13" s="293"/>
      <c r="C13" s="293"/>
      <c r="D13" s="293"/>
      <c r="E13" s="293"/>
      <c r="F13" s="293"/>
      <c r="G13" s="293"/>
      <c r="H13" s="293"/>
      <c r="I13" s="293"/>
      <c r="J13" s="11"/>
      <c r="K13" s="10"/>
      <c r="L13" s="6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61"/>
      <c r="AQ13" s="60"/>
      <c r="AR13" s="62"/>
      <c r="AS13" s="18"/>
    </row>
    <row r="14" spans="1:45" hidden="1" outlineLevel="1">
      <c r="A14" s="292">
        <v>78</v>
      </c>
      <c r="B14" s="292"/>
      <c r="C14" s="292"/>
      <c r="D14" s="292"/>
      <c r="F14" s="292"/>
      <c r="G14" s="292"/>
      <c r="H14" s="292"/>
      <c r="I14" s="292"/>
      <c r="J14" s="11"/>
      <c r="K14" s="61"/>
      <c r="L14" s="60"/>
      <c r="M14" s="18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61"/>
      <c r="AQ14" s="60"/>
      <c r="AR14" s="62"/>
      <c r="AS14" s="18"/>
    </row>
    <row r="15" spans="1:45" hidden="1" outlineLevel="1">
      <c r="A15" s="293"/>
      <c r="B15" s="293"/>
      <c r="C15" s="293"/>
      <c r="D15" s="293"/>
      <c r="F15" s="293"/>
      <c r="G15" s="293"/>
      <c r="H15" s="293"/>
      <c r="I15" s="293"/>
      <c r="J15" s="11"/>
      <c r="K15" s="10"/>
      <c r="L15" s="6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61"/>
      <c r="AQ15" s="60"/>
      <c r="AR15" s="62"/>
      <c r="AS15" s="18"/>
    </row>
    <row r="16" spans="1:45" hidden="1" outlineLevel="1">
      <c r="A16" s="292">
        <v>79</v>
      </c>
      <c r="B16" s="292">
        <v>1</v>
      </c>
      <c r="C16" s="292">
        <v>2</v>
      </c>
      <c r="D16" s="292"/>
      <c r="E16" s="292"/>
      <c r="F16" s="292"/>
      <c r="G16" s="292">
        <v>20262046</v>
      </c>
      <c r="H16" s="292" t="s">
        <v>133</v>
      </c>
      <c r="I16" s="292" t="s">
        <v>136</v>
      </c>
      <c r="J16" s="11"/>
      <c r="K16" s="61"/>
      <c r="L16" s="60"/>
      <c r="M16" s="6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61"/>
      <c r="AQ16" s="60"/>
      <c r="AR16" s="62"/>
      <c r="AS16" s="72"/>
    </row>
    <row r="17" spans="1:45" hidden="1" outlineLevel="1">
      <c r="A17" s="293"/>
      <c r="B17" s="293"/>
      <c r="C17" s="293"/>
      <c r="D17" s="293"/>
      <c r="E17" s="293"/>
      <c r="F17" s="293"/>
      <c r="G17" s="293"/>
      <c r="H17" s="293"/>
      <c r="I17" s="293"/>
      <c r="J17" s="11"/>
      <c r="K17" s="61"/>
      <c r="L17" s="60"/>
      <c r="M17" s="6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61"/>
      <c r="AQ17" s="60"/>
      <c r="AR17" s="62"/>
      <c r="AS17" s="18"/>
    </row>
    <row r="18" spans="1:45" hidden="1" outlineLevel="1">
      <c r="A18" s="292">
        <v>80</v>
      </c>
      <c r="B18" s="292">
        <v>2</v>
      </c>
      <c r="C18" s="292">
        <v>3</v>
      </c>
      <c r="D18" s="292"/>
      <c r="E18" s="292"/>
      <c r="F18" s="292"/>
      <c r="G18" s="292">
        <v>20262051</v>
      </c>
      <c r="H18" s="292" t="s">
        <v>134</v>
      </c>
      <c r="I18" s="292" t="s">
        <v>146</v>
      </c>
      <c r="J18" s="22" t="s">
        <v>8</v>
      </c>
      <c r="K18" s="61"/>
      <c r="L18" s="60"/>
      <c r="M18" s="62"/>
      <c r="N18" s="1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61"/>
      <c r="AQ18" s="60"/>
      <c r="AR18" s="62"/>
      <c r="AS18" s="72"/>
    </row>
    <row r="19" spans="1:45" hidden="1" outlineLevel="1">
      <c r="A19" s="293"/>
      <c r="B19" s="293"/>
      <c r="C19" s="293"/>
      <c r="D19" s="293"/>
      <c r="E19" s="293"/>
      <c r="F19" s="293"/>
      <c r="G19" s="293"/>
      <c r="H19" s="293"/>
      <c r="I19" s="293"/>
      <c r="J19" s="34" t="s">
        <v>79</v>
      </c>
      <c r="K19" s="61"/>
      <c r="L19" s="60"/>
      <c r="M19" s="62"/>
      <c r="N19" s="1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61"/>
      <c r="AQ19" s="60"/>
      <c r="AR19" s="62"/>
      <c r="AS19" s="18"/>
    </row>
    <row r="20" spans="1:45" collapsed="1">
      <c r="A20" s="292">
        <v>81</v>
      </c>
      <c r="B20" s="292">
        <v>4</v>
      </c>
      <c r="C20" s="292">
        <v>7</v>
      </c>
      <c r="D20" s="294">
        <v>46092</v>
      </c>
      <c r="E20" s="294">
        <v>46103</v>
      </c>
      <c r="F20" s="292">
        <v>795</v>
      </c>
      <c r="G20" s="292">
        <v>20262057</v>
      </c>
      <c r="H20" s="292" t="s">
        <v>135</v>
      </c>
      <c r="I20" s="292" t="s">
        <v>160</v>
      </c>
      <c r="J20" s="62" t="s">
        <v>11</v>
      </c>
      <c r="K20" s="67" t="s">
        <v>78</v>
      </c>
      <c r="L20" s="62" t="s">
        <v>11</v>
      </c>
      <c r="M20" s="28" t="s">
        <v>78</v>
      </c>
      <c r="N20" s="28" t="s">
        <v>78</v>
      </c>
      <c r="O20" s="62" t="s">
        <v>11</v>
      </c>
      <c r="P20" s="22" t="s">
        <v>8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61"/>
      <c r="AQ20" s="60"/>
      <c r="AR20" s="62"/>
      <c r="AS20" s="18"/>
    </row>
    <row r="21" spans="1:45" ht="15.6" thickBot="1">
      <c r="A21" s="293"/>
      <c r="B21" s="293"/>
      <c r="C21" s="293"/>
      <c r="D21" s="293"/>
      <c r="E21" s="293"/>
      <c r="F21" s="293"/>
      <c r="G21" s="293"/>
      <c r="H21" s="293"/>
      <c r="I21" s="293"/>
      <c r="J21" s="62" t="s">
        <v>11</v>
      </c>
      <c r="K21" s="126" t="s">
        <v>151</v>
      </c>
      <c r="L21" s="62" t="s">
        <v>11</v>
      </c>
      <c r="M21" s="76" t="s">
        <v>150</v>
      </c>
      <c r="N21" s="76" t="s">
        <v>94</v>
      </c>
      <c r="O21" s="62" t="s">
        <v>11</v>
      </c>
      <c r="P21" s="34" t="s">
        <v>54</v>
      </c>
      <c r="Q21" s="125"/>
      <c r="R21" s="125"/>
      <c r="S21" s="114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61"/>
      <c r="AQ21" s="60"/>
      <c r="AR21" s="62"/>
      <c r="AS21" s="18"/>
    </row>
    <row r="22" spans="1:45" ht="15.6" thickTop="1">
      <c r="A22" s="292">
        <v>82</v>
      </c>
      <c r="B22" s="292">
        <v>1</v>
      </c>
      <c r="C22" s="292">
        <v>2</v>
      </c>
      <c r="D22" s="294">
        <v>46099</v>
      </c>
      <c r="E22" s="294">
        <v>46106</v>
      </c>
      <c r="F22" s="292">
        <v>813</v>
      </c>
      <c r="G22" s="292">
        <v>20262061</v>
      </c>
      <c r="H22" s="292" t="s">
        <v>142</v>
      </c>
      <c r="I22" s="292" t="s">
        <v>159</v>
      </c>
      <c r="J22" s="11"/>
      <c r="K22" s="61"/>
      <c r="L22" s="95"/>
      <c r="M22" s="28" t="s">
        <v>78</v>
      </c>
      <c r="N22" s="28" t="s">
        <v>78</v>
      </c>
      <c r="O22" s="62" t="s">
        <v>11</v>
      </c>
      <c r="P22" s="28" t="s">
        <v>78</v>
      </c>
      <c r="Q22" s="94" t="s">
        <v>16</v>
      </c>
      <c r="R22" s="38" t="s">
        <v>47</v>
      </c>
      <c r="S22" s="22" t="s">
        <v>8</v>
      </c>
      <c r="T22" s="11"/>
      <c r="U22" s="11"/>
      <c r="V22" s="11"/>
      <c r="W22" s="11"/>
      <c r="X22" s="11"/>
      <c r="Y22" s="129"/>
      <c r="Z22" s="107"/>
      <c r="AA22" s="114" t="s">
        <v>98</v>
      </c>
      <c r="AB22" s="11"/>
      <c r="AC22" s="11"/>
      <c r="AD22" s="127" t="s">
        <v>11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61"/>
      <c r="AQ22" s="60"/>
      <c r="AR22" s="62"/>
      <c r="AS22" s="18"/>
    </row>
    <row r="23" spans="1:45" ht="19.8" thickBot="1">
      <c r="A23" s="293"/>
      <c r="B23" s="293"/>
      <c r="C23" s="293"/>
      <c r="D23" s="293"/>
      <c r="E23" s="293"/>
      <c r="F23" s="293"/>
      <c r="G23" s="293"/>
      <c r="H23" s="293"/>
      <c r="I23" s="293"/>
      <c r="J23" s="11"/>
      <c r="K23" s="61"/>
      <c r="L23" s="95" t="s">
        <v>37</v>
      </c>
      <c r="M23" s="76" t="s">
        <v>150</v>
      </c>
      <c r="N23" s="76" t="s">
        <v>94</v>
      </c>
      <c r="O23" s="62" t="s">
        <v>11</v>
      </c>
      <c r="P23" s="48" t="s">
        <v>50</v>
      </c>
      <c r="Q23" s="20" t="s">
        <v>13</v>
      </c>
      <c r="R23" s="25" t="s">
        <v>15</v>
      </c>
      <c r="S23" s="34" t="s">
        <v>48</v>
      </c>
      <c r="T23" s="11"/>
      <c r="U23" s="11"/>
      <c r="V23" s="11"/>
      <c r="W23" s="11"/>
      <c r="X23" s="114"/>
      <c r="Y23" s="128"/>
      <c r="Z23" s="114"/>
      <c r="AA23" s="125">
        <v>0.39583333333333331</v>
      </c>
      <c r="AB23" s="11"/>
      <c r="AC23" s="11"/>
      <c r="AD23" s="127" t="s">
        <v>11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61"/>
      <c r="AQ23" s="60"/>
      <c r="AR23" s="62"/>
      <c r="AS23" s="18"/>
    </row>
    <row r="24" spans="1:45" ht="15.6" thickTop="1">
      <c r="A24" s="292">
        <v>83</v>
      </c>
      <c r="B24" s="292">
        <v>2</v>
      </c>
      <c r="C24" s="292">
        <v>3</v>
      </c>
      <c r="D24" s="294">
        <v>46108</v>
      </c>
      <c r="E24" s="292"/>
      <c r="F24" s="292">
        <v>440</v>
      </c>
      <c r="G24" s="292">
        <v>20262071</v>
      </c>
      <c r="H24" s="292" t="s">
        <v>143</v>
      </c>
      <c r="I24" s="292" t="s">
        <v>158</v>
      </c>
      <c r="J24" s="11"/>
      <c r="K24" s="61"/>
      <c r="L24" s="60"/>
      <c r="M24" s="11"/>
      <c r="N24" s="62" t="s">
        <v>11</v>
      </c>
      <c r="O24" s="62" t="s">
        <v>11</v>
      </c>
      <c r="P24" s="62" t="s">
        <v>11</v>
      </c>
      <c r="Q24" s="11"/>
      <c r="R24" s="125">
        <v>0.39583333333333331</v>
      </c>
      <c r="S24" s="11"/>
      <c r="T24" s="11"/>
      <c r="U24" s="95"/>
      <c r="V24" s="62" t="s">
        <v>11</v>
      </c>
      <c r="W24" s="48" t="s">
        <v>50</v>
      </c>
      <c r="X24" s="94" t="s">
        <v>16</v>
      </c>
      <c r="Y24" s="62" t="s">
        <v>11</v>
      </c>
      <c r="Z24" s="62" t="s">
        <v>11</v>
      </c>
      <c r="AA24" s="38" t="s">
        <v>47</v>
      </c>
      <c r="AB24" s="28" t="s">
        <v>78</v>
      </c>
      <c r="AC24" s="28" t="s">
        <v>78</v>
      </c>
      <c r="AD24" s="28" t="s">
        <v>78</v>
      </c>
      <c r="AE24" s="22" t="s">
        <v>8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61"/>
      <c r="AQ24" s="60"/>
      <c r="AR24" s="62"/>
      <c r="AS24" s="18"/>
    </row>
    <row r="25" spans="1:45">
      <c r="A25" s="293"/>
      <c r="B25" s="293"/>
      <c r="C25" s="293"/>
      <c r="D25" s="293"/>
      <c r="E25" s="293"/>
      <c r="F25" s="293"/>
      <c r="G25" s="293"/>
      <c r="H25" s="293"/>
      <c r="I25" s="293"/>
      <c r="J25" s="11"/>
      <c r="K25" s="10"/>
      <c r="L25" s="60"/>
      <c r="M25" s="11"/>
      <c r="N25" s="62" t="s">
        <v>11</v>
      </c>
      <c r="O25" s="62" t="s">
        <v>11</v>
      </c>
      <c r="P25" s="62" t="s">
        <v>11</v>
      </c>
      <c r="Q25" s="114"/>
      <c r="R25" s="114" t="s">
        <v>98</v>
      </c>
      <c r="S25" s="114"/>
      <c r="T25" s="114"/>
      <c r="U25" s="95" t="s">
        <v>37</v>
      </c>
      <c r="V25" s="62" t="s">
        <v>11</v>
      </c>
      <c r="W25" s="76" t="s">
        <v>94</v>
      </c>
      <c r="X25" s="20" t="s">
        <v>13</v>
      </c>
      <c r="Y25" s="62" t="s">
        <v>46</v>
      </c>
      <c r="Z25" s="62" t="s">
        <v>11</v>
      </c>
      <c r="AA25" s="25" t="s">
        <v>15</v>
      </c>
      <c r="AB25" s="28" t="s">
        <v>78</v>
      </c>
      <c r="AC25" s="28" t="s">
        <v>78</v>
      </c>
      <c r="AD25" s="28" t="s">
        <v>78</v>
      </c>
      <c r="AE25" s="34" t="s">
        <v>70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61"/>
      <c r="AQ25" s="60"/>
      <c r="AR25" s="62"/>
      <c r="AS25" s="18"/>
    </row>
    <row r="26" spans="1:45">
      <c r="A26" s="292">
        <v>84</v>
      </c>
      <c r="B26" s="292">
        <v>3</v>
      </c>
      <c r="C26" s="292">
        <v>6</v>
      </c>
      <c r="D26" s="294">
        <v>46107</v>
      </c>
      <c r="E26" s="292"/>
      <c r="F26" s="292">
        <v>380</v>
      </c>
      <c r="G26" s="292">
        <v>20262098</v>
      </c>
      <c r="H26" s="292" t="s">
        <v>152</v>
      </c>
      <c r="I26" s="292" t="s">
        <v>153</v>
      </c>
      <c r="J26" s="11"/>
      <c r="K26" s="61"/>
      <c r="L26" s="60"/>
      <c r="M26" s="11"/>
      <c r="N26" s="62" t="s">
        <v>11</v>
      </c>
      <c r="O26" s="62" t="s">
        <v>11</v>
      </c>
      <c r="P26" s="62" t="s">
        <v>11</v>
      </c>
      <c r="Q26" s="11"/>
      <c r="R26" s="11"/>
      <c r="S26" s="11"/>
      <c r="T26" s="95"/>
      <c r="U26" s="62" t="s">
        <v>11</v>
      </c>
      <c r="V26" s="28" t="s">
        <v>78</v>
      </c>
      <c r="W26" s="48" t="s">
        <v>50</v>
      </c>
      <c r="X26" s="15" t="s">
        <v>16</v>
      </c>
      <c r="Y26" s="28" t="s">
        <v>78</v>
      </c>
      <c r="Z26" s="62" t="s">
        <v>11</v>
      </c>
      <c r="AA26" s="38" t="s">
        <v>47</v>
      </c>
      <c r="AB26" s="22" t="s">
        <v>8</v>
      </c>
      <c r="AC26" s="11"/>
      <c r="AD26" s="11"/>
      <c r="AE26" s="11"/>
      <c r="AF26" s="11"/>
      <c r="AG26" s="11"/>
      <c r="AH26" s="114" t="s">
        <v>98</v>
      </c>
      <c r="AI26" s="114"/>
      <c r="AJ26" s="11"/>
      <c r="AK26" s="11"/>
      <c r="AL26" s="11"/>
      <c r="AM26" s="11"/>
      <c r="AN26" s="11"/>
      <c r="AO26" s="11"/>
      <c r="AP26" s="61"/>
      <c r="AQ26" s="60"/>
      <c r="AR26" s="62"/>
      <c r="AS26" s="72"/>
    </row>
    <row r="27" spans="1:45">
      <c r="A27" s="293"/>
      <c r="B27" s="293"/>
      <c r="C27" s="293"/>
      <c r="D27" s="293"/>
      <c r="E27" s="293"/>
      <c r="F27" s="293"/>
      <c r="G27" s="293"/>
      <c r="H27" s="293"/>
      <c r="I27" s="293"/>
      <c r="J27" s="11"/>
      <c r="K27" s="10"/>
      <c r="L27" s="60"/>
      <c r="M27" s="11"/>
      <c r="N27" s="62" t="s">
        <v>11</v>
      </c>
      <c r="O27" s="62" t="s">
        <v>11</v>
      </c>
      <c r="P27" s="62" t="s">
        <v>11</v>
      </c>
      <c r="Q27" s="11"/>
      <c r="R27" s="11"/>
      <c r="S27" s="11"/>
      <c r="T27" s="95" t="s">
        <v>37</v>
      </c>
      <c r="U27" s="62" t="s">
        <v>11</v>
      </c>
      <c r="V27" s="28" t="s">
        <v>78</v>
      </c>
      <c r="W27" s="76" t="s">
        <v>94</v>
      </c>
      <c r="X27" s="20" t="s">
        <v>13</v>
      </c>
      <c r="Y27" s="76" t="s">
        <v>161</v>
      </c>
      <c r="Z27" s="62" t="s">
        <v>11</v>
      </c>
      <c r="AA27" s="25" t="s">
        <v>15</v>
      </c>
      <c r="AB27" s="34" t="s">
        <v>93</v>
      </c>
      <c r="AC27" s="11"/>
      <c r="AD27" s="11"/>
      <c r="AE27" s="11"/>
      <c r="AF27" s="11"/>
      <c r="AG27" s="11"/>
      <c r="AH27" s="133">
        <v>0.39583333333333331</v>
      </c>
      <c r="AI27" s="11"/>
      <c r="AJ27" s="11"/>
      <c r="AK27" s="11"/>
      <c r="AL27" s="11"/>
      <c r="AM27" s="11"/>
      <c r="AN27" s="11"/>
      <c r="AO27" s="11"/>
      <c r="AP27" s="61"/>
      <c r="AQ27" s="60"/>
      <c r="AR27" s="62"/>
      <c r="AS27" s="18"/>
    </row>
    <row r="28" spans="1:45">
      <c r="A28" s="292">
        <v>85</v>
      </c>
      <c r="B28" s="292">
        <v>3</v>
      </c>
      <c r="C28" s="292">
        <v>6</v>
      </c>
      <c r="D28" s="294">
        <v>46118</v>
      </c>
      <c r="E28" s="292"/>
      <c r="F28" s="292">
        <v>378</v>
      </c>
      <c r="G28" s="292">
        <v>20262090</v>
      </c>
      <c r="H28" s="292" t="s">
        <v>154</v>
      </c>
      <c r="I28" s="292" t="s">
        <v>155</v>
      </c>
      <c r="J28" s="11"/>
      <c r="K28" s="61"/>
      <c r="L28" s="60"/>
      <c r="M28" s="11"/>
      <c r="N28" s="62" t="s">
        <v>11</v>
      </c>
      <c r="O28" s="62" t="s">
        <v>11</v>
      </c>
      <c r="P28" s="62" t="s">
        <v>11</v>
      </c>
      <c r="Q28" s="11"/>
      <c r="R28" s="11"/>
      <c r="S28" s="11"/>
      <c r="T28" s="11"/>
      <c r="U28" s="11"/>
      <c r="V28" s="62" t="s">
        <v>11</v>
      </c>
      <c r="W28" s="62" t="s">
        <v>11</v>
      </c>
      <c r="X28" s="11"/>
      <c r="Y28" s="11"/>
      <c r="Z28" s="11"/>
      <c r="AA28" s="11"/>
      <c r="AB28" s="11"/>
      <c r="AC28" s="62" t="s">
        <v>11</v>
      </c>
      <c r="AD28" s="62" t="s">
        <v>11</v>
      </c>
      <c r="AE28" s="11"/>
      <c r="AF28" s="95"/>
      <c r="AG28" s="62" t="s">
        <v>11</v>
      </c>
      <c r="AH28" s="38" t="s">
        <v>47</v>
      </c>
      <c r="AI28" s="62" t="s">
        <v>11</v>
      </c>
      <c r="AJ28" s="28" t="s">
        <v>78</v>
      </c>
      <c r="AK28" s="28" t="s">
        <v>78</v>
      </c>
      <c r="AL28" s="15" t="s">
        <v>16</v>
      </c>
      <c r="AM28" s="62" t="s">
        <v>11</v>
      </c>
      <c r="AN28" s="28" t="s">
        <v>76</v>
      </c>
      <c r="AO28" s="22" t="s">
        <v>8</v>
      </c>
      <c r="AP28" s="61"/>
      <c r="AQ28" s="60"/>
      <c r="AR28" s="62"/>
      <c r="AS28" s="72"/>
    </row>
    <row r="29" spans="1:45">
      <c r="A29" s="293"/>
      <c r="B29" s="293"/>
      <c r="C29" s="293"/>
      <c r="D29" s="293"/>
      <c r="E29" s="293"/>
      <c r="F29" s="293"/>
      <c r="G29" s="293"/>
      <c r="H29" s="293"/>
      <c r="I29" s="293"/>
      <c r="J29" s="11"/>
      <c r="K29" s="10"/>
      <c r="L29" s="60"/>
      <c r="M29" s="11"/>
      <c r="N29" s="62" t="s">
        <v>11</v>
      </c>
      <c r="O29" s="62" t="s">
        <v>11</v>
      </c>
      <c r="P29" s="62" t="s">
        <v>11</v>
      </c>
      <c r="Q29" s="11"/>
      <c r="R29" s="11"/>
      <c r="S29" s="11"/>
      <c r="T29" s="11"/>
      <c r="U29" s="11"/>
      <c r="V29" s="62" t="s">
        <v>11</v>
      </c>
      <c r="W29" s="62" t="s">
        <v>11</v>
      </c>
      <c r="X29" s="11"/>
      <c r="Y29" s="11"/>
      <c r="Z29" s="11"/>
      <c r="AA29" s="11"/>
      <c r="AB29" s="11"/>
      <c r="AC29" s="62" t="s">
        <v>11</v>
      </c>
      <c r="AD29" s="62" t="s">
        <v>11</v>
      </c>
      <c r="AE29" s="11"/>
      <c r="AF29" s="95" t="s">
        <v>37</v>
      </c>
      <c r="AG29" s="62" t="s">
        <v>11</v>
      </c>
      <c r="AH29" s="25" t="s">
        <v>15</v>
      </c>
      <c r="AI29" s="62" t="s">
        <v>11</v>
      </c>
      <c r="AJ29" s="28" t="s">
        <v>78</v>
      </c>
      <c r="AK29" s="28" t="s">
        <v>78</v>
      </c>
      <c r="AL29" s="20" t="s">
        <v>13</v>
      </c>
      <c r="AM29" s="62" t="s">
        <v>11</v>
      </c>
      <c r="AN29" s="28" t="s">
        <v>78</v>
      </c>
      <c r="AO29" s="34" t="s">
        <v>172</v>
      </c>
      <c r="AP29" s="61"/>
      <c r="AQ29" s="60"/>
      <c r="AR29" s="62"/>
      <c r="AS29" s="18"/>
    </row>
    <row r="30" spans="1:45">
      <c r="A30" s="292">
        <v>1</v>
      </c>
      <c r="B30" s="331"/>
      <c r="C30" s="331"/>
      <c r="D30" s="333" t="s">
        <v>180</v>
      </c>
      <c r="E30" s="331"/>
      <c r="F30" s="331"/>
      <c r="G30" s="331">
        <v>20262111</v>
      </c>
      <c r="H30" s="331" t="s">
        <v>156</v>
      </c>
      <c r="I30" s="331" t="s">
        <v>157</v>
      </c>
      <c r="J30" s="146"/>
      <c r="K30" s="147"/>
      <c r="L30" s="188"/>
      <c r="M30" s="188"/>
      <c r="N30" s="146"/>
      <c r="O30" s="146"/>
      <c r="P30" s="189" t="s">
        <v>79</v>
      </c>
      <c r="Q30" s="188" t="s">
        <v>11</v>
      </c>
      <c r="R30" s="188" t="s">
        <v>11</v>
      </c>
      <c r="S30" s="190" t="s">
        <v>78</v>
      </c>
      <c r="T30" s="190" t="s">
        <v>78</v>
      </c>
      <c r="U30" s="188" t="s">
        <v>11</v>
      </c>
      <c r="V30" s="190" t="s">
        <v>78</v>
      </c>
      <c r="W30" s="146"/>
      <c r="X30" s="146"/>
      <c r="Y30" s="146"/>
      <c r="Z30" s="146"/>
      <c r="AA30" s="146"/>
      <c r="AB30" s="146"/>
      <c r="AC30" s="146"/>
      <c r="AD30" s="146"/>
      <c r="AE30" s="162"/>
      <c r="AF30" s="162"/>
      <c r="AG30" s="162"/>
      <c r="AH30" s="162"/>
      <c r="AI30" s="11"/>
      <c r="AJ30" s="11"/>
      <c r="AK30" s="11"/>
      <c r="AL30" s="11"/>
      <c r="AM30" s="11"/>
      <c r="AN30" s="11"/>
      <c r="AO30" s="11"/>
      <c r="AP30" s="61"/>
      <c r="AQ30" s="60"/>
      <c r="AR30" s="62"/>
      <c r="AS30" s="72"/>
    </row>
    <row r="31" spans="1:45">
      <c r="A31" s="293"/>
      <c r="B31" s="332"/>
      <c r="C31" s="332"/>
      <c r="D31" s="334"/>
      <c r="E31" s="332"/>
      <c r="F31" s="332"/>
      <c r="G31" s="332"/>
      <c r="H31" s="332"/>
      <c r="I31" s="332"/>
      <c r="J31" s="146"/>
      <c r="K31" s="147"/>
      <c r="L31" s="188"/>
      <c r="M31" s="188"/>
      <c r="N31" s="188"/>
      <c r="O31" s="188"/>
      <c r="P31" s="191" t="s">
        <v>37</v>
      </c>
      <c r="Q31" s="188" t="s">
        <v>11</v>
      </c>
      <c r="R31" s="188" t="s">
        <v>11</v>
      </c>
      <c r="S31" s="190" t="s">
        <v>78</v>
      </c>
      <c r="T31" s="190" t="s">
        <v>78</v>
      </c>
      <c r="U31" s="188" t="s">
        <v>11</v>
      </c>
      <c r="V31" s="190" t="s">
        <v>78</v>
      </c>
      <c r="W31" s="146"/>
      <c r="X31" s="146"/>
      <c r="Y31" s="146"/>
      <c r="Z31" s="146"/>
      <c r="AA31" s="146"/>
      <c r="AB31" s="146"/>
      <c r="AC31" s="146"/>
      <c r="AD31" s="146"/>
      <c r="AE31" s="162"/>
      <c r="AF31" s="162"/>
      <c r="AG31" s="162"/>
      <c r="AH31" s="162"/>
      <c r="AI31" s="11"/>
      <c r="AJ31" s="11"/>
      <c r="AK31" s="11"/>
      <c r="AL31" s="11"/>
      <c r="AM31" s="11"/>
      <c r="AN31" s="11"/>
      <c r="AO31" s="11"/>
      <c r="AP31" s="61"/>
      <c r="AQ31" s="60"/>
      <c r="AR31" s="62"/>
      <c r="AS31" s="18"/>
    </row>
    <row r="32" spans="1:45">
      <c r="A32" s="292">
        <v>2</v>
      </c>
      <c r="B32" s="331"/>
      <c r="C32" s="331"/>
      <c r="D32" s="333" t="s">
        <v>180</v>
      </c>
      <c r="E32" s="331"/>
      <c r="F32" s="331"/>
      <c r="G32" s="331">
        <v>20262129</v>
      </c>
      <c r="H32" s="331" t="s">
        <v>163</v>
      </c>
      <c r="I32" s="331" t="s">
        <v>166</v>
      </c>
      <c r="J32" s="146"/>
      <c r="K32" s="147"/>
      <c r="L32" s="192"/>
      <c r="M32" s="188"/>
      <c r="N32" s="188"/>
      <c r="O32" s="188"/>
      <c r="P32" s="188"/>
      <c r="Q32" s="146"/>
      <c r="R32" s="146"/>
      <c r="S32" s="188"/>
      <c r="T32" s="188"/>
      <c r="U32" s="146"/>
      <c r="V32" s="189" t="s">
        <v>79</v>
      </c>
      <c r="W32" s="190" t="s">
        <v>78</v>
      </c>
      <c r="X32" s="188" t="s">
        <v>11</v>
      </c>
      <c r="Y32" s="188" t="s">
        <v>11</v>
      </c>
      <c r="Z32" s="146"/>
      <c r="AA32" s="146"/>
      <c r="AB32" s="146"/>
      <c r="AC32" s="146"/>
      <c r="AD32" s="146"/>
      <c r="AE32" s="162"/>
      <c r="AF32" s="162"/>
      <c r="AG32" s="162"/>
      <c r="AH32" s="162"/>
      <c r="AI32" s="11"/>
      <c r="AJ32" s="11"/>
      <c r="AK32" s="11"/>
      <c r="AL32" s="11"/>
      <c r="AM32" s="11"/>
      <c r="AN32" s="11"/>
      <c r="AO32" s="11"/>
      <c r="AP32" s="61"/>
      <c r="AQ32" s="60"/>
      <c r="AR32" s="62"/>
      <c r="AS32" s="18"/>
    </row>
    <row r="33" spans="1:45">
      <c r="A33" s="293"/>
      <c r="B33" s="332"/>
      <c r="C33" s="332"/>
      <c r="D33" s="334"/>
      <c r="E33" s="332"/>
      <c r="F33" s="332"/>
      <c r="G33" s="332"/>
      <c r="H33" s="332"/>
      <c r="I33" s="332"/>
      <c r="J33" s="146"/>
      <c r="K33" s="147"/>
      <c r="L33" s="192"/>
      <c r="M33" s="188"/>
      <c r="N33" s="188"/>
      <c r="O33" s="188"/>
      <c r="P33" s="188"/>
      <c r="Q33" s="146"/>
      <c r="R33" s="146"/>
      <c r="S33" s="188"/>
      <c r="T33" s="188"/>
      <c r="U33" s="146"/>
      <c r="V33" s="191" t="s">
        <v>37</v>
      </c>
      <c r="W33" s="190" t="s">
        <v>78</v>
      </c>
      <c r="X33" s="188" t="s">
        <v>11</v>
      </c>
      <c r="Y33" s="188" t="s">
        <v>11</v>
      </c>
      <c r="Z33" s="146"/>
      <c r="AA33" s="146"/>
      <c r="AB33" s="146"/>
      <c r="AC33" s="146"/>
      <c r="AD33" s="146"/>
      <c r="AE33" s="162"/>
      <c r="AF33" s="162"/>
      <c r="AG33" s="162"/>
      <c r="AH33" s="162"/>
      <c r="AI33" s="11"/>
      <c r="AJ33" s="11"/>
      <c r="AK33" s="11"/>
      <c r="AL33" s="11"/>
      <c r="AM33" s="11"/>
      <c r="AN33" s="11"/>
      <c r="AO33" s="11"/>
      <c r="AP33" s="61"/>
      <c r="AQ33" s="60"/>
      <c r="AR33" s="62"/>
      <c r="AS33" s="18"/>
    </row>
    <row r="34" spans="1:45" hidden="1" outlineLevel="1">
      <c r="A34" s="292">
        <v>301</v>
      </c>
      <c r="B34" s="292">
        <v>1</v>
      </c>
      <c r="C34" s="292">
        <v>2</v>
      </c>
      <c r="D34" s="292"/>
      <c r="E34" s="292"/>
      <c r="F34" s="292"/>
      <c r="G34" s="295">
        <v>20253504</v>
      </c>
      <c r="H34" s="292" t="s">
        <v>73</v>
      </c>
      <c r="I34" s="292" t="s">
        <v>84</v>
      </c>
      <c r="J34" s="11"/>
      <c r="K34" s="61"/>
      <c r="L34" s="60"/>
      <c r="M34" s="18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61"/>
      <c r="AQ34" s="60"/>
      <c r="AR34" s="62"/>
      <c r="AS34" s="18"/>
    </row>
    <row r="35" spans="1:45" hidden="1" outlineLevel="1">
      <c r="A35" s="293"/>
      <c r="B35" s="293"/>
      <c r="C35" s="293"/>
      <c r="D35" s="293"/>
      <c r="E35" s="293"/>
      <c r="F35" s="293"/>
      <c r="G35" s="296"/>
      <c r="H35" s="293"/>
      <c r="I35" s="293"/>
      <c r="J35" s="11"/>
      <c r="K35" s="10"/>
      <c r="L35" s="6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61"/>
      <c r="AQ35" s="60"/>
      <c r="AR35" s="62"/>
      <c r="AS35" s="18"/>
    </row>
    <row r="36" spans="1:45" hidden="1" outlineLevel="1">
      <c r="A36" s="292">
        <v>302</v>
      </c>
      <c r="B36" s="292">
        <v>4</v>
      </c>
      <c r="C36" s="292">
        <v>8</v>
      </c>
      <c r="D36" s="292"/>
      <c r="E36" s="292"/>
      <c r="F36" s="292"/>
      <c r="G36" s="295">
        <v>20253555</v>
      </c>
      <c r="H36" s="292" t="s">
        <v>74</v>
      </c>
      <c r="I36" s="292" t="s">
        <v>85</v>
      </c>
      <c r="J36" s="11"/>
      <c r="K36" s="61"/>
      <c r="L36" s="60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61"/>
      <c r="AQ36" s="60"/>
      <c r="AR36" s="62"/>
      <c r="AS36" s="18"/>
    </row>
    <row r="37" spans="1:45" hidden="1" outlineLevel="1">
      <c r="A37" s="293"/>
      <c r="B37" s="293"/>
      <c r="C37" s="293"/>
      <c r="D37" s="293"/>
      <c r="E37" s="293"/>
      <c r="F37" s="293"/>
      <c r="G37" s="296"/>
      <c r="H37" s="293"/>
      <c r="I37" s="293"/>
      <c r="J37" s="11"/>
      <c r="K37" s="10"/>
      <c r="L37" s="60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61"/>
      <c r="AQ37" s="60"/>
      <c r="AR37" s="62"/>
      <c r="AS37" s="18"/>
    </row>
    <row r="38" spans="1:45" hidden="1" outlineLevel="1">
      <c r="A38" s="292">
        <v>303</v>
      </c>
      <c r="B38" s="292">
        <v>1</v>
      </c>
      <c r="C38" s="292">
        <v>2</v>
      </c>
      <c r="D38" s="292"/>
      <c r="E38" s="292"/>
      <c r="F38" s="292"/>
      <c r="G38" s="295">
        <v>20253569</v>
      </c>
      <c r="H38" s="315" t="s">
        <v>75</v>
      </c>
      <c r="I38" s="292" t="s">
        <v>86</v>
      </c>
      <c r="J38" s="11"/>
      <c r="K38" s="61"/>
      <c r="L38" s="60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61"/>
      <c r="AQ38" s="60"/>
      <c r="AR38" s="62"/>
      <c r="AS38" s="18"/>
    </row>
    <row r="39" spans="1:45" hidden="1" outlineLevel="1">
      <c r="A39" s="293"/>
      <c r="B39" s="293"/>
      <c r="C39" s="293"/>
      <c r="D39" s="293"/>
      <c r="E39" s="293"/>
      <c r="F39" s="293"/>
      <c r="G39" s="296"/>
      <c r="H39" s="316"/>
      <c r="I39" s="293"/>
      <c r="J39" s="11"/>
      <c r="K39" s="10"/>
      <c r="L39" s="6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61"/>
      <c r="AQ39" s="60"/>
      <c r="AR39" s="62"/>
      <c r="AS39" s="18"/>
    </row>
    <row r="40" spans="1:45" hidden="1" outlineLevel="1">
      <c r="A40" s="292">
        <v>304</v>
      </c>
      <c r="B40" s="292">
        <v>2</v>
      </c>
      <c r="C40" s="292">
        <v>3</v>
      </c>
      <c r="D40" s="292"/>
      <c r="E40" s="292"/>
      <c r="F40" s="292">
        <v>192</v>
      </c>
      <c r="G40" s="295">
        <v>20253528</v>
      </c>
      <c r="H40" s="292" t="s">
        <v>81</v>
      </c>
      <c r="I40" s="292" t="s">
        <v>87</v>
      </c>
      <c r="J40" s="11"/>
      <c r="K40" s="61"/>
      <c r="L40" s="60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61"/>
      <c r="AQ40" s="60"/>
      <c r="AR40" s="62"/>
      <c r="AS40" s="18"/>
    </row>
    <row r="41" spans="1:45" hidden="1" outlineLevel="1">
      <c r="A41" s="293"/>
      <c r="B41" s="293"/>
      <c r="C41" s="293"/>
      <c r="D41" s="293"/>
      <c r="E41" s="293"/>
      <c r="F41" s="293"/>
      <c r="G41" s="296"/>
      <c r="H41" s="293"/>
      <c r="I41" s="293"/>
      <c r="J41" s="11"/>
      <c r="K41" s="10"/>
      <c r="L41" s="6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61"/>
      <c r="AQ41" s="60"/>
      <c r="AR41" s="62"/>
      <c r="AS41" s="18"/>
    </row>
    <row r="42" spans="1:45" hidden="1" collapsed="1">
      <c r="A42" s="292">
        <v>305</v>
      </c>
      <c r="B42" s="292">
        <v>3</v>
      </c>
      <c r="C42" s="292">
        <v>5</v>
      </c>
      <c r="D42" s="292"/>
      <c r="E42" s="292"/>
      <c r="F42" s="292">
        <v>845</v>
      </c>
      <c r="G42" s="295">
        <v>20253529</v>
      </c>
      <c r="H42" s="292" t="s">
        <v>80</v>
      </c>
      <c r="I42" s="292" t="s">
        <v>88</v>
      </c>
      <c r="J42" s="11"/>
      <c r="K42" s="61"/>
      <c r="L42" s="60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61"/>
      <c r="AQ42" s="60"/>
      <c r="AR42" s="62"/>
      <c r="AS42" s="18"/>
    </row>
    <row r="43" spans="1:45" hidden="1">
      <c r="A43" s="293"/>
      <c r="B43" s="293"/>
      <c r="C43" s="293"/>
      <c r="D43" s="293"/>
      <c r="E43" s="293"/>
      <c r="F43" s="293"/>
      <c r="G43" s="296"/>
      <c r="H43" s="293"/>
      <c r="I43" s="293"/>
      <c r="J43" s="11"/>
      <c r="K43" s="10"/>
      <c r="L43" s="6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61"/>
      <c r="AQ43" s="60"/>
      <c r="AR43" s="62"/>
      <c r="AS43" s="18"/>
    </row>
    <row r="44" spans="1:45" hidden="1">
      <c r="A44" s="292">
        <v>306</v>
      </c>
      <c r="B44" s="292">
        <v>4</v>
      </c>
      <c r="C44" s="292">
        <v>8</v>
      </c>
      <c r="D44" s="292"/>
      <c r="E44" s="292"/>
      <c r="F44" s="292">
        <v>800</v>
      </c>
      <c r="G44" s="295">
        <v>20253587</v>
      </c>
      <c r="H44" s="292" t="s">
        <v>82</v>
      </c>
      <c r="I44" s="292" t="s">
        <v>89</v>
      </c>
      <c r="J44" s="11"/>
      <c r="K44" s="61"/>
      <c r="L44" s="60"/>
      <c r="M44" s="18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61"/>
      <c r="AQ44" s="60"/>
      <c r="AR44" s="62"/>
      <c r="AS44" s="18"/>
    </row>
    <row r="45" spans="1:45" hidden="1">
      <c r="A45" s="293"/>
      <c r="B45" s="293"/>
      <c r="C45" s="293"/>
      <c r="D45" s="293"/>
      <c r="E45" s="293"/>
      <c r="F45" s="293"/>
      <c r="G45" s="296"/>
      <c r="H45" s="293"/>
      <c r="I45" s="293"/>
      <c r="J45" s="11"/>
      <c r="K45" s="10"/>
      <c r="L45" s="6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61"/>
      <c r="AQ45" s="60"/>
      <c r="AR45" s="62"/>
      <c r="AS45" s="18"/>
    </row>
    <row r="46" spans="1:45" hidden="1">
      <c r="A46" s="292">
        <v>307</v>
      </c>
      <c r="B46" s="292">
        <v>2</v>
      </c>
      <c r="C46" s="292">
        <v>3</v>
      </c>
      <c r="D46" s="292"/>
      <c r="E46" s="292"/>
      <c r="F46" s="292">
        <v>753</v>
      </c>
      <c r="G46" s="295">
        <v>20253557</v>
      </c>
      <c r="H46" s="292" t="s">
        <v>83</v>
      </c>
      <c r="I46" s="292" t="s">
        <v>90</v>
      </c>
      <c r="J46" s="11"/>
      <c r="K46" s="61"/>
      <c r="L46" s="60"/>
      <c r="M46" s="18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61"/>
      <c r="AQ46" s="60"/>
      <c r="AR46" s="62"/>
      <c r="AS46" s="18"/>
    </row>
    <row r="47" spans="1:45" hidden="1">
      <c r="A47" s="293"/>
      <c r="B47" s="293"/>
      <c r="C47" s="293"/>
      <c r="D47" s="293"/>
      <c r="E47" s="293"/>
      <c r="F47" s="293"/>
      <c r="G47" s="296"/>
      <c r="H47" s="293"/>
      <c r="I47" s="293"/>
      <c r="J47" s="11"/>
      <c r="K47" s="10"/>
      <c r="L47" s="6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61"/>
      <c r="AQ47" s="60"/>
      <c r="AR47" s="62"/>
      <c r="AS47" s="18"/>
    </row>
    <row r="48" spans="1:45" hidden="1">
      <c r="A48" s="292"/>
      <c r="B48" s="292"/>
      <c r="C48" s="292"/>
      <c r="D48" s="292"/>
      <c r="E48" s="292"/>
      <c r="F48" s="292"/>
      <c r="G48" s="292"/>
      <c r="H48" s="292"/>
      <c r="I48" s="292"/>
      <c r="J48" s="11"/>
      <c r="K48" s="61"/>
      <c r="L48" s="60"/>
      <c r="M48" s="18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61"/>
      <c r="AQ48" s="60"/>
      <c r="AR48" s="62"/>
      <c r="AS48" s="18"/>
    </row>
    <row r="49" spans="1:46" hidden="1">
      <c r="A49" s="293"/>
      <c r="B49" s="293"/>
      <c r="C49" s="293"/>
      <c r="D49" s="293"/>
      <c r="E49" s="293"/>
      <c r="F49" s="293"/>
      <c r="G49" s="293"/>
      <c r="H49" s="293"/>
      <c r="I49" s="293"/>
      <c r="J49" s="11"/>
      <c r="K49" s="10"/>
      <c r="L49" s="6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61"/>
      <c r="AQ49" s="60"/>
      <c r="AR49" s="62"/>
      <c r="AS49" s="18"/>
    </row>
    <row r="50" spans="1:46" hidden="1">
      <c r="A50" s="292"/>
      <c r="B50" s="292"/>
      <c r="C50" s="292"/>
      <c r="D50" s="292"/>
      <c r="E50" s="292"/>
      <c r="F50" s="292"/>
      <c r="G50" s="292"/>
      <c r="H50" s="292"/>
      <c r="I50" s="292"/>
      <c r="J50" s="11"/>
      <c r="K50" s="10"/>
      <c r="L50" s="6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61"/>
      <c r="AQ50" s="60"/>
      <c r="AR50" s="62"/>
      <c r="AS50" s="11"/>
    </row>
    <row r="51" spans="1:46" hidden="1">
      <c r="A51" s="293"/>
      <c r="B51" s="293"/>
      <c r="C51" s="293"/>
      <c r="D51" s="293"/>
      <c r="E51" s="293"/>
      <c r="F51" s="293"/>
      <c r="G51" s="293"/>
      <c r="H51" s="293"/>
      <c r="I51" s="293"/>
      <c r="J51" s="11"/>
      <c r="K51" s="10"/>
      <c r="L51" s="6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61"/>
      <c r="AQ51" s="60"/>
      <c r="AR51" s="62"/>
      <c r="AS51" s="11"/>
    </row>
    <row r="52" spans="1:46" hidden="1">
      <c r="A52" s="292"/>
      <c r="B52" s="292"/>
      <c r="C52" s="292"/>
      <c r="D52" s="292"/>
      <c r="E52" s="292"/>
      <c r="F52" s="292"/>
      <c r="G52" s="292"/>
      <c r="H52" s="292"/>
      <c r="I52" s="292"/>
      <c r="J52" s="11"/>
      <c r="K52" s="10"/>
      <c r="L52" s="60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61"/>
      <c r="AQ52" s="60"/>
      <c r="AR52" s="62"/>
      <c r="AS52" s="18"/>
    </row>
    <row r="53" spans="1:46" hidden="1">
      <c r="A53" s="293"/>
      <c r="B53" s="293"/>
      <c r="C53" s="293"/>
      <c r="D53" s="293"/>
      <c r="E53" s="293"/>
      <c r="F53" s="293"/>
      <c r="G53" s="293"/>
      <c r="H53" s="293"/>
      <c r="I53" s="293"/>
      <c r="J53" s="11"/>
      <c r="K53" s="10"/>
      <c r="L53" s="60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61"/>
      <c r="AQ53" s="60"/>
      <c r="AR53" s="62"/>
      <c r="AS53" s="18"/>
    </row>
    <row r="54" spans="1:46">
      <c r="A54" s="51"/>
      <c r="E54" s="2"/>
      <c r="F54" s="12"/>
      <c r="G54" s="12"/>
      <c r="H54" s="12"/>
      <c r="I54" s="12"/>
      <c r="J54" s="5">
        <f>COUNTA(J6:J53)*0.5</f>
        <v>2</v>
      </c>
      <c r="K54" s="5"/>
      <c r="L54" s="5">
        <f t="shared" ref="L54:AM54" si="8">COUNTA(L6:L53)*0.5</f>
        <v>1.5</v>
      </c>
      <c r="M54" s="5">
        <f t="shared" si="8"/>
        <v>2</v>
      </c>
      <c r="N54" s="5">
        <f t="shared" si="8"/>
        <v>5</v>
      </c>
      <c r="O54" s="5">
        <f t="shared" si="8"/>
        <v>5</v>
      </c>
      <c r="P54" s="5">
        <f t="shared" si="8"/>
        <v>6</v>
      </c>
      <c r="Q54" s="5">
        <f t="shared" si="8"/>
        <v>2</v>
      </c>
      <c r="R54" s="5">
        <f t="shared" si="8"/>
        <v>3</v>
      </c>
      <c r="S54" s="5">
        <f t="shared" si="8"/>
        <v>2</v>
      </c>
      <c r="T54" s="5">
        <f t="shared" si="8"/>
        <v>1.5</v>
      </c>
      <c r="U54" s="5">
        <f t="shared" si="8"/>
        <v>2.5</v>
      </c>
      <c r="V54" s="5">
        <f t="shared" si="8"/>
        <v>5</v>
      </c>
      <c r="W54" s="5">
        <f t="shared" si="8"/>
        <v>4</v>
      </c>
      <c r="X54" s="5">
        <f t="shared" si="8"/>
        <v>3</v>
      </c>
      <c r="Y54" s="5">
        <f t="shared" si="8"/>
        <v>3</v>
      </c>
      <c r="Z54" s="5">
        <f t="shared" si="8"/>
        <v>2</v>
      </c>
      <c r="AA54" s="5">
        <f t="shared" si="8"/>
        <v>3</v>
      </c>
      <c r="AB54" s="5">
        <f t="shared" si="8"/>
        <v>2</v>
      </c>
      <c r="AC54" s="5">
        <f t="shared" si="8"/>
        <v>2</v>
      </c>
      <c r="AD54" s="5">
        <f t="shared" si="8"/>
        <v>3</v>
      </c>
      <c r="AE54" s="5">
        <f t="shared" si="8"/>
        <v>1</v>
      </c>
      <c r="AF54" s="5">
        <f t="shared" si="8"/>
        <v>0.5</v>
      </c>
      <c r="AG54" s="5">
        <f t="shared" si="8"/>
        <v>1</v>
      </c>
      <c r="AH54" s="5">
        <f t="shared" si="8"/>
        <v>2</v>
      </c>
      <c r="AI54" s="122">
        <f t="shared" si="8"/>
        <v>1</v>
      </c>
      <c r="AJ54" s="123">
        <f t="shared" si="8"/>
        <v>1</v>
      </c>
      <c r="AK54" s="5">
        <f t="shared" si="8"/>
        <v>1</v>
      </c>
      <c r="AL54" s="5">
        <f t="shared" si="8"/>
        <v>1</v>
      </c>
      <c r="AM54" s="5">
        <f t="shared" si="8"/>
        <v>1</v>
      </c>
      <c r="AN54" s="5"/>
      <c r="AO54" s="5">
        <f>COUNTA(AO6:AO53)*0.5</f>
        <v>1</v>
      </c>
      <c r="AP54" s="5">
        <f>COUNTA(AP6:AP53)*0.5</f>
        <v>0</v>
      </c>
      <c r="AQ54" s="5">
        <f>COUNTA(AQ6:AQ53)*0.5</f>
        <v>0</v>
      </c>
      <c r="AR54" s="5"/>
      <c r="AS54" s="5">
        <f>COUNTA(AS6:AS53)*0.5</f>
        <v>0</v>
      </c>
    </row>
    <row r="55" spans="1:46" ht="15" customHeight="1">
      <c r="AI55" s="120"/>
      <c r="AJ55" s="121"/>
    </row>
    <row r="56" spans="1:46">
      <c r="AI56" s="120"/>
      <c r="AJ56" s="121"/>
    </row>
    <row r="57" spans="1:46">
      <c r="B57" s="301"/>
      <c r="C57" s="301"/>
      <c r="D57" s="301"/>
      <c r="E57" s="301"/>
      <c r="F57" s="301"/>
      <c r="AI57" s="120"/>
      <c r="AJ57" s="121"/>
    </row>
    <row r="58" spans="1:46">
      <c r="I58" s="6"/>
      <c r="J58" s="45" t="s">
        <v>47</v>
      </c>
      <c r="K58" s="45"/>
      <c r="L58" s="24" t="s">
        <v>17</v>
      </c>
      <c r="M58" s="23" t="s">
        <v>19</v>
      </c>
      <c r="N58" s="14" t="s">
        <v>21</v>
      </c>
      <c r="O58" s="26" t="s">
        <v>26</v>
      </c>
      <c r="P58" s="15" t="s">
        <v>16</v>
      </c>
      <c r="Q58" s="16" t="s">
        <v>23</v>
      </c>
      <c r="R58" s="22" t="s">
        <v>8</v>
      </c>
      <c r="S58" s="3"/>
      <c r="T58" s="17" t="s">
        <v>24</v>
      </c>
      <c r="U58" s="36" t="s">
        <v>36</v>
      </c>
      <c r="W58" s="38" t="s">
        <v>13</v>
      </c>
      <c r="X58" s="38"/>
      <c r="Y58" s="38"/>
      <c r="Z58" s="46" t="s">
        <v>37</v>
      </c>
      <c r="AB58" s="50" t="s">
        <v>49</v>
      </c>
      <c r="AC58" s="3"/>
      <c r="AD58" s="48" t="s">
        <v>50</v>
      </c>
      <c r="AE58" s="15" t="s">
        <v>16</v>
      </c>
      <c r="AF58" s="28" t="s">
        <v>9</v>
      </c>
      <c r="AG58" s="17" t="s">
        <v>22</v>
      </c>
      <c r="AH58" s="16" t="s">
        <v>23</v>
      </c>
      <c r="AI58" s="3"/>
      <c r="AJ58" s="41" t="s">
        <v>41</v>
      </c>
      <c r="AK58" s="66" t="s">
        <v>37</v>
      </c>
      <c r="AL58" s="3"/>
      <c r="AM58" s="3"/>
      <c r="AN58" s="3"/>
      <c r="AO58" s="3"/>
      <c r="AP58" s="3"/>
      <c r="AQ58" s="3"/>
      <c r="AR58" s="3"/>
    </row>
    <row r="59" spans="1:46">
      <c r="I59" s="6"/>
      <c r="J59" s="25" t="s">
        <v>15</v>
      </c>
      <c r="K59" s="25"/>
      <c r="L59" s="28" t="s">
        <v>18</v>
      </c>
      <c r="M59" s="27" t="s">
        <v>20</v>
      </c>
      <c r="N59" s="19" t="s">
        <v>25</v>
      </c>
      <c r="O59" s="29" t="s">
        <v>27</v>
      </c>
      <c r="P59" s="20" t="s">
        <v>13</v>
      </c>
      <c r="Q59" s="21" t="s">
        <v>39</v>
      </c>
      <c r="R59" s="22"/>
      <c r="T59" s="17" t="s">
        <v>22</v>
      </c>
      <c r="U59" s="37" t="s">
        <v>38</v>
      </c>
      <c r="Z59" s="46" t="s">
        <v>42</v>
      </c>
      <c r="AB59" s="50" t="s">
        <v>22</v>
      </c>
      <c r="AC59" s="3"/>
      <c r="AD59" s="48" t="s">
        <v>52</v>
      </c>
      <c r="AE59" s="20" t="s">
        <v>13</v>
      </c>
      <c r="AF59" s="25" t="s">
        <v>15</v>
      </c>
      <c r="AG59" s="17" t="s">
        <v>22</v>
      </c>
      <c r="AH59" s="49" t="s">
        <v>51</v>
      </c>
      <c r="AI59" s="3"/>
      <c r="AJ59" s="41" t="s">
        <v>41</v>
      </c>
      <c r="AK59" s="66"/>
      <c r="AL59" s="3"/>
      <c r="AM59" s="3"/>
      <c r="AN59" s="3"/>
      <c r="AO59" s="3"/>
      <c r="AP59" s="3"/>
      <c r="AQ59" s="3"/>
      <c r="AR59" s="3"/>
    </row>
    <row r="60" spans="1:46" hidden="1">
      <c r="I60" s="6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6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93" t="s">
        <v>121</v>
      </c>
      <c r="AA61" s="93"/>
      <c r="AB61" s="5"/>
      <c r="AC61" s="5"/>
      <c r="AD61" s="5"/>
      <c r="AE61" s="5"/>
      <c r="AF61" s="5"/>
      <c r="AG61" s="5"/>
      <c r="AH61" s="5"/>
      <c r="AI61" s="118"/>
      <c r="AJ61" s="119"/>
      <c r="AK61" s="5"/>
      <c r="AL61" s="5"/>
      <c r="AM61" s="5"/>
      <c r="AN61" s="5"/>
      <c r="AO61" s="5"/>
      <c r="AP61" s="5"/>
      <c r="AQ61" s="5"/>
      <c r="AR61" s="5"/>
    </row>
    <row r="62" spans="1:46">
      <c r="J62" s="9">
        <v>16</v>
      </c>
      <c r="K62" s="56">
        <f t="shared" ref="K62" si="9">J62+1</f>
        <v>17</v>
      </c>
      <c r="L62" s="57">
        <f t="shared" ref="L62" si="10">K62+1</f>
        <v>18</v>
      </c>
      <c r="M62" s="70">
        <f>L62+1</f>
        <v>19</v>
      </c>
      <c r="N62" s="9">
        <f t="shared" ref="N62" si="11">M62+1</f>
        <v>20</v>
      </c>
      <c r="O62" s="9">
        <f t="shared" ref="O62" si="12">N62+1</f>
        <v>21</v>
      </c>
      <c r="P62" s="9">
        <f t="shared" ref="P62" si="13">O62+1</f>
        <v>22</v>
      </c>
      <c r="Q62" s="9">
        <f t="shared" ref="Q62" si="14">P62+1</f>
        <v>23</v>
      </c>
      <c r="R62" s="9">
        <f t="shared" ref="R62" si="15">Q62+1</f>
        <v>24</v>
      </c>
      <c r="S62" s="9">
        <f t="shared" ref="S62" si="16">R62+1</f>
        <v>25</v>
      </c>
      <c r="T62" s="9">
        <f t="shared" ref="T62" si="17">S62+1</f>
        <v>26</v>
      </c>
      <c r="U62" s="9">
        <f t="shared" ref="U62" si="18">T62+1</f>
        <v>27</v>
      </c>
      <c r="V62" s="9">
        <f t="shared" ref="V62" si="19">U62+1</f>
        <v>28</v>
      </c>
      <c r="W62" s="9">
        <f t="shared" ref="W62" si="20">V62+1</f>
        <v>29</v>
      </c>
      <c r="X62" s="9">
        <f t="shared" ref="X62" si="21">W62+1</f>
        <v>30</v>
      </c>
      <c r="Y62" s="9">
        <f t="shared" ref="Y62" si="22">X62+1</f>
        <v>31</v>
      </c>
      <c r="Z62" s="9">
        <v>1</v>
      </c>
      <c r="AA62" s="9">
        <f t="shared" ref="AA62" si="23">Z62+1</f>
        <v>2</v>
      </c>
      <c r="AB62" s="9">
        <f t="shared" ref="AB62" si="24">AA62+1</f>
        <v>3</v>
      </c>
      <c r="AC62" s="9">
        <f t="shared" ref="AC62" si="25">AB62+1</f>
        <v>4</v>
      </c>
      <c r="AD62" s="9">
        <f t="shared" ref="AD62" si="26">AC62+1</f>
        <v>5</v>
      </c>
      <c r="AE62" s="9">
        <f t="shared" ref="AE62" si="27">AD62+1</f>
        <v>6</v>
      </c>
      <c r="AF62" s="9">
        <f t="shared" ref="AF62" si="28">AE62+1</f>
        <v>7</v>
      </c>
      <c r="AG62" s="9">
        <f t="shared" ref="AG62" si="29">AF62+1</f>
        <v>8</v>
      </c>
      <c r="AH62" s="9">
        <f t="shared" ref="AH62" si="30">AG62+1</f>
        <v>9</v>
      </c>
      <c r="AI62" s="56">
        <f t="shared" ref="AI62" si="31">AH62+1</f>
        <v>10</v>
      </c>
      <c r="AJ62" s="57">
        <f t="shared" ref="AJ62" si="32">AI62+1</f>
        <v>11</v>
      </c>
      <c r="AK62" s="9">
        <f t="shared" ref="AK62" si="33">AJ62+1</f>
        <v>12</v>
      </c>
      <c r="AL62" s="9">
        <f t="shared" ref="AL62" si="34">AK62+1</f>
        <v>13</v>
      </c>
      <c r="AM62" s="9">
        <f t="shared" ref="AM62" si="35">AL62+1</f>
        <v>14</v>
      </c>
      <c r="AN62" s="13">
        <f t="shared" ref="AN62" si="36">AM62+1</f>
        <v>15</v>
      </c>
      <c r="AO62" s="13">
        <f t="shared" ref="AO62" si="37">AN62+1</f>
        <v>16</v>
      </c>
      <c r="AP62" s="88">
        <f t="shared" ref="AP62" si="38">AO62+1</f>
        <v>17</v>
      </c>
      <c r="AQ62" s="57">
        <f t="shared" ref="AQ62" si="39">AP62+1</f>
        <v>18</v>
      </c>
      <c r="AR62" s="9">
        <f t="shared" ref="AR62" si="40">AQ62+1</f>
        <v>19</v>
      </c>
      <c r="AS62" s="9">
        <f t="shared" ref="AS62" si="41">AR62+1</f>
        <v>20</v>
      </c>
    </row>
    <row r="63" spans="1:46" ht="15.6" thickBot="1">
      <c r="J63" s="30" t="s">
        <v>30</v>
      </c>
      <c r="K63" s="58" t="s">
        <v>31</v>
      </c>
      <c r="L63" s="59" t="s">
        <v>32</v>
      </c>
      <c r="M63" s="30" t="s">
        <v>33</v>
      </c>
      <c r="N63" s="32" t="s">
        <v>34</v>
      </c>
      <c r="O63" s="31" t="s">
        <v>28</v>
      </c>
      <c r="P63" s="32" t="s">
        <v>29</v>
      </c>
      <c r="Q63" s="30" t="s">
        <v>30</v>
      </c>
      <c r="R63" s="30" t="s">
        <v>31</v>
      </c>
      <c r="S63" s="30" t="s">
        <v>32</v>
      </c>
      <c r="T63" s="30" t="s">
        <v>33</v>
      </c>
      <c r="U63" s="30" t="s">
        <v>34</v>
      </c>
      <c r="V63" s="31" t="s">
        <v>28</v>
      </c>
      <c r="W63" s="32" t="s">
        <v>29</v>
      </c>
      <c r="X63" s="30" t="s">
        <v>30</v>
      </c>
      <c r="Y63" s="30" t="s">
        <v>31</v>
      </c>
      <c r="Z63" s="30" t="s">
        <v>32</v>
      </c>
      <c r="AA63" s="30" t="s">
        <v>33</v>
      </c>
      <c r="AB63" s="30" t="s">
        <v>34</v>
      </c>
      <c r="AC63" s="31" t="s">
        <v>28</v>
      </c>
      <c r="AD63" s="32" t="s">
        <v>29</v>
      </c>
      <c r="AE63" s="30" t="s">
        <v>30</v>
      </c>
      <c r="AF63" s="30" t="s">
        <v>31</v>
      </c>
      <c r="AG63" s="30" t="s">
        <v>32</v>
      </c>
      <c r="AH63" s="30" t="s">
        <v>33</v>
      </c>
      <c r="AI63" s="58" t="s">
        <v>34</v>
      </c>
      <c r="AJ63" s="73" t="s">
        <v>28</v>
      </c>
      <c r="AK63" s="32" t="s">
        <v>29</v>
      </c>
      <c r="AL63" s="30" t="s">
        <v>30</v>
      </c>
      <c r="AM63" s="30" t="s">
        <v>31</v>
      </c>
      <c r="AN63" s="30" t="s">
        <v>32</v>
      </c>
      <c r="AO63" s="30" t="s">
        <v>33</v>
      </c>
      <c r="AP63" s="58" t="s">
        <v>34</v>
      </c>
      <c r="AQ63" s="73" t="s">
        <v>28</v>
      </c>
      <c r="AR63" s="32" t="s">
        <v>29</v>
      </c>
      <c r="AS63" s="30" t="s">
        <v>30</v>
      </c>
    </row>
    <row r="64" spans="1:46" ht="18" customHeight="1" thickTop="1" thickBot="1">
      <c r="A64" s="302" t="s">
        <v>10</v>
      </c>
      <c r="B64" s="302"/>
      <c r="C64" s="302"/>
      <c r="D64" s="302"/>
      <c r="E64" s="302"/>
      <c r="F64" s="302"/>
      <c r="H64" s="303" t="s">
        <v>72</v>
      </c>
      <c r="I64" s="304"/>
      <c r="J64" s="11" t="s">
        <v>96</v>
      </c>
      <c r="K64" s="61"/>
      <c r="L64" s="60"/>
      <c r="M64" s="313" t="s">
        <v>77</v>
      </c>
      <c r="N64" s="313"/>
      <c r="O64" s="78" t="s">
        <v>11</v>
      </c>
      <c r="P64" s="78" t="s">
        <v>11</v>
      </c>
      <c r="Q64" s="11"/>
      <c r="R64" s="78" t="s">
        <v>11</v>
      </c>
      <c r="S64" s="33" t="s">
        <v>35</v>
      </c>
      <c r="T64" s="95"/>
      <c r="U64" s="288" t="s">
        <v>113</v>
      </c>
      <c r="V64" s="289"/>
      <c r="W64" s="78" t="s">
        <v>11</v>
      </c>
      <c r="X64" s="11"/>
      <c r="Y64" s="11"/>
      <c r="Z64" s="11"/>
      <c r="AA64" s="38" t="s">
        <v>47</v>
      </c>
      <c r="AB64" s="288" t="s">
        <v>97</v>
      </c>
      <c r="AC64" s="289"/>
      <c r="AD64" s="78" t="s">
        <v>11</v>
      </c>
      <c r="AE64" s="11"/>
      <c r="AF64" s="313" t="s">
        <v>77</v>
      </c>
      <c r="AG64" s="313"/>
      <c r="AH64" s="324" t="s">
        <v>15</v>
      </c>
      <c r="AI64" s="313" t="s">
        <v>77</v>
      </c>
      <c r="AJ64" s="313"/>
      <c r="AK64" s="78" t="s">
        <v>11</v>
      </c>
      <c r="AL64" s="11"/>
      <c r="AM64" s="11"/>
      <c r="AN64" s="11"/>
      <c r="AO64" s="11"/>
      <c r="AP64" s="313" t="s">
        <v>77</v>
      </c>
      <c r="AQ64" s="313"/>
      <c r="AR64" s="62"/>
      <c r="AS64" s="35"/>
      <c r="AT64" s="52"/>
    </row>
    <row r="65" spans="1:47" ht="18" customHeight="1" thickTop="1" thickBot="1">
      <c r="A65" s="302"/>
      <c r="B65" s="302"/>
      <c r="C65" s="302"/>
      <c r="D65" s="302"/>
      <c r="E65" s="302"/>
      <c r="F65" s="302"/>
      <c r="H65" s="305"/>
      <c r="I65" s="306"/>
      <c r="J65" s="80"/>
      <c r="K65" s="85"/>
      <c r="L65" s="96"/>
      <c r="M65" s="326"/>
      <c r="N65" s="326"/>
      <c r="O65" s="80"/>
      <c r="P65" s="80"/>
      <c r="Q65" s="130"/>
      <c r="R65" s="80"/>
      <c r="S65" s="80"/>
      <c r="T65" s="95" t="s">
        <v>37</v>
      </c>
      <c r="U65" s="290"/>
      <c r="V65" s="291"/>
      <c r="W65" s="80"/>
      <c r="X65" s="130"/>
      <c r="Y65" s="80"/>
      <c r="Z65" s="80"/>
      <c r="AA65" s="25" t="s">
        <v>15</v>
      </c>
      <c r="AB65" s="290"/>
      <c r="AC65" s="291"/>
      <c r="AD65" s="80"/>
      <c r="AE65" s="130"/>
      <c r="AF65" s="326"/>
      <c r="AG65" s="326"/>
      <c r="AH65" s="325"/>
      <c r="AI65" s="326"/>
      <c r="AJ65" s="326"/>
      <c r="AK65" s="80"/>
      <c r="AL65" s="130"/>
      <c r="AM65" s="80"/>
      <c r="AN65" s="80"/>
      <c r="AO65" s="80"/>
      <c r="AP65" s="326"/>
      <c r="AQ65" s="326"/>
      <c r="AR65" s="97"/>
      <c r="AS65" s="98"/>
    </row>
    <row r="66" spans="1:47" ht="18" customHeight="1" thickTop="1" thickBot="1">
      <c r="A66" s="302"/>
      <c r="B66" s="302"/>
      <c r="C66" s="302"/>
      <c r="D66" s="302"/>
      <c r="E66" s="302"/>
      <c r="F66" s="302"/>
      <c r="H66" s="305" t="s">
        <v>57</v>
      </c>
      <c r="I66" s="306"/>
      <c r="J66" s="78" t="s">
        <v>11</v>
      </c>
      <c r="K66" s="83" t="s">
        <v>78</v>
      </c>
      <c r="L66" s="78" t="s">
        <v>11</v>
      </c>
      <c r="M66" s="83" t="s">
        <v>78</v>
      </c>
      <c r="N66" s="83" t="s">
        <v>78</v>
      </c>
      <c r="O66" s="83" t="s">
        <v>78</v>
      </c>
      <c r="P66" s="28" t="s">
        <v>78</v>
      </c>
      <c r="Q66" s="94" t="s">
        <v>16</v>
      </c>
      <c r="R66" s="38" t="s">
        <v>47</v>
      </c>
      <c r="S66" s="83" t="s">
        <v>78</v>
      </c>
      <c r="T66" s="78" t="s">
        <v>11</v>
      </c>
      <c r="U66" s="78" t="s">
        <v>11</v>
      </c>
      <c r="V66" s="83" t="s">
        <v>78</v>
      </c>
      <c r="W66" s="83" t="s">
        <v>78</v>
      </c>
      <c r="X66" s="94" t="s">
        <v>16</v>
      </c>
      <c r="Y66" s="83" t="s">
        <v>78</v>
      </c>
      <c r="Z66" s="78" t="s">
        <v>11</v>
      </c>
      <c r="AA66" s="78" t="s">
        <v>11</v>
      </c>
      <c r="AB66" s="78" t="s">
        <v>11</v>
      </c>
      <c r="AC66" s="83" t="s">
        <v>78</v>
      </c>
      <c r="AD66" s="83" t="s">
        <v>78</v>
      </c>
      <c r="AE66" s="83" t="s">
        <v>162</v>
      </c>
      <c r="AF66" s="83" t="s">
        <v>78</v>
      </c>
      <c r="AG66" s="138" t="s">
        <v>149</v>
      </c>
      <c r="AH66" s="78" t="s">
        <v>11</v>
      </c>
      <c r="AI66" s="79" t="s">
        <v>11</v>
      </c>
      <c r="AJ66" s="83" t="s">
        <v>78</v>
      </c>
      <c r="AK66" s="28" t="s">
        <v>78</v>
      </c>
      <c r="AL66" s="15" t="s">
        <v>16</v>
      </c>
      <c r="AM66" s="99" t="s">
        <v>11</v>
      </c>
      <c r="AN66" s="28" t="s">
        <v>76</v>
      </c>
      <c r="AO66" s="99" t="s">
        <v>11</v>
      </c>
      <c r="AP66" s="99" t="s">
        <v>11</v>
      </c>
      <c r="AQ66" s="78"/>
      <c r="AR66" s="62"/>
      <c r="AS66" s="62"/>
      <c r="AT66" s="54"/>
      <c r="AU66" s="52"/>
    </row>
    <row r="67" spans="1:47" ht="18" customHeight="1" thickTop="1">
      <c r="A67" s="302"/>
      <c r="B67" s="302"/>
      <c r="C67" s="302"/>
      <c r="D67" s="302"/>
      <c r="E67" s="302"/>
      <c r="F67" s="302"/>
      <c r="H67" s="307"/>
      <c r="I67" s="308"/>
      <c r="J67" s="11"/>
      <c r="K67" s="28" t="s">
        <v>78</v>
      </c>
      <c r="L67" s="11"/>
      <c r="M67" s="28" t="s">
        <v>78</v>
      </c>
      <c r="N67" s="76" t="s">
        <v>94</v>
      </c>
      <c r="O67" s="28" t="s">
        <v>78</v>
      </c>
      <c r="P67" s="48" t="s">
        <v>50</v>
      </c>
      <c r="Q67" s="20" t="s">
        <v>13</v>
      </c>
      <c r="R67" s="25" t="s">
        <v>15</v>
      </c>
      <c r="S67" s="28" t="s">
        <v>78</v>
      </c>
      <c r="T67" s="327"/>
      <c r="U67" s="328"/>
      <c r="V67" s="28" t="s">
        <v>78</v>
      </c>
      <c r="W67" s="28" t="s">
        <v>78</v>
      </c>
      <c r="X67" s="20" t="s">
        <v>13</v>
      </c>
      <c r="Y67" s="28" t="s">
        <v>78</v>
      </c>
      <c r="Z67" s="11"/>
      <c r="AA67" s="11"/>
      <c r="AB67" s="64"/>
      <c r="AC67" s="28" t="s">
        <v>78</v>
      </c>
      <c r="AD67" s="28" t="s">
        <v>78</v>
      </c>
      <c r="AE67" s="28" t="s">
        <v>78</v>
      </c>
      <c r="AF67" s="28" t="s">
        <v>78</v>
      </c>
      <c r="AG67" s="64"/>
      <c r="AH67" s="107"/>
      <c r="AI67" s="131"/>
      <c r="AJ67" s="28" t="s">
        <v>78</v>
      </c>
      <c r="AK67" s="28" t="s">
        <v>78</v>
      </c>
      <c r="AL67" s="20" t="s">
        <v>13</v>
      </c>
      <c r="AM67" s="64"/>
      <c r="AN67" s="28" t="s">
        <v>78</v>
      </c>
      <c r="AO67" s="329"/>
      <c r="AP67" s="330"/>
      <c r="AQ67" s="11"/>
      <c r="AR67" s="62"/>
      <c r="AS67" s="35"/>
      <c r="AT67" s="4"/>
    </row>
    <row r="68" spans="1:47" ht="18" customHeight="1">
      <c r="H68" s="309"/>
      <c r="I68" s="3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61"/>
      <c r="AJ68" s="60"/>
      <c r="AK68" s="11"/>
      <c r="AL68" s="11"/>
      <c r="AM68" s="11"/>
      <c r="AN68" s="11"/>
      <c r="AO68" s="11"/>
      <c r="AP68" s="11"/>
      <c r="AQ68" s="11"/>
      <c r="AR68" s="62"/>
      <c r="AS68" s="35"/>
    </row>
    <row r="69" spans="1:47" ht="18" customHeight="1">
      <c r="H69" s="311"/>
      <c r="I69" s="312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64" t="s">
        <v>167</v>
      </c>
      <c r="AA69" s="107"/>
      <c r="AB69" s="107"/>
      <c r="AC69" s="75"/>
      <c r="AD69" s="107"/>
      <c r="AE69" s="107"/>
      <c r="AF69" s="107"/>
      <c r="AG69" s="107"/>
      <c r="AH69" s="107"/>
      <c r="AI69" s="131"/>
      <c r="AJ69" s="134"/>
      <c r="AK69" s="107"/>
      <c r="AL69" s="107"/>
      <c r="AM69" s="107"/>
      <c r="AN69" s="107"/>
      <c r="AO69" s="107"/>
      <c r="AP69" s="107"/>
      <c r="AQ69" s="107"/>
      <c r="AR69" s="135"/>
      <c r="AS69" s="136"/>
    </row>
    <row r="70" spans="1:47" ht="18" customHeight="1">
      <c r="H70" s="300" t="s">
        <v>55</v>
      </c>
      <c r="I70" s="300"/>
      <c r="J70" s="11"/>
      <c r="K70" s="61"/>
      <c r="L70" s="6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61"/>
      <c r="AQ70" s="60"/>
      <c r="AR70" s="62"/>
      <c r="AS70" s="35"/>
    </row>
    <row r="71" spans="1:47" ht="18" customHeight="1">
      <c r="H71" s="300"/>
      <c r="I71" s="300"/>
      <c r="J71" s="11"/>
      <c r="K71" s="61"/>
      <c r="L71" s="6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61"/>
      <c r="AQ71" s="60"/>
      <c r="AR71" s="62"/>
      <c r="AS71" s="35"/>
    </row>
    <row r="72" spans="1:47" ht="18" customHeight="1">
      <c r="H72" s="300"/>
      <c r="I72" s="300"/>
      <c r="J72" s="11"/>
      <c r="K72" s="10"/>
      <c r="L72" s="6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61"/>
      <c r="AQ72" s="60"/>
      <c r="AR72" s="62"/>
      <c r="AS72" s="35"/>
    </row>
    <row r="73" spans="1:47" ht="18" customHeight="1">
      <c r="H73" s="300"/>
      <c r="I73" s="300"/>
      <c r="J73" s="11"/>
      <c r="K73" s="10"/>
      <c r="L73" s="6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61"/>
      <c r="AQ73" s="60"/>
      <c r="AR73" s="62"/>
      <c r="AS73" s="35"/>
    </row>
  </sheetData>
  <mergeCells count="243">
    <mergeCell ref="I8:I9"/>
    <mergeCell ref="A8:A9"/>
    <mergeCell ref="B8:B9"/>
    <mergeCell ref="C8:C9"/>
    <mergeCell ref="D8:D9"/>
    <mergeCell ref="E8:E9"/>
    <mergeCell ref="F8:F9"/>
    <mergeCell ref="A6:A7"/>
    <mergeCell ref="B6:B7"/>
    <mergeCell ref="C6:C7"/>
    <mergeCell ref="D6:D7"/>
    <mergeCell ref="E6:E7"/>
    <mergeCell ref="F6:F7"/>
    <mergeCell ref="F14:F15"/>
    <mergeCell ref="A1:AQ1"/>
    <mergeCell ref="AO2:AQ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10:A11"/>
    <mergeCell ref="B10:B11"/>
    <mergeCell ref="C10:C11"/>
    <mergeCell ref="D10:D11"/>
    <mergeCell ref="E10:E11"/>
    <mergeCell ref="F10:F11"/>
    <mergeCell ref="G10:G11"/>
    <mergeCell ref="G6:G7"/>
    <mergeCell ref="H6:H7"/>
    <mergeCell ref="I6:I7"/>
    <mergeCell ref="G8:G9"/>
    <mergeCell ref="H8:H9"/>
    <mergeCell ref="C20:C21"/>
    <mergeCell ref="D20:D21"/>
    <mergeCell ref="H10:H11"/>
    <mergeCell ref="I10:I11"/>
    <mergeCell ref="I16:I1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G14:G15"/>
    <mergeCell ref="E20:E21"/>
    <mergeCell ref="F20:F21"/>
    <mergeCell ref="G20:G21"/>
    <mergeCell ref="I24:I25"/>
    <mergeCell ref="H14:H15"/>
    <mergeCell ref="I14:I15"/>
    <mergeCell ref="G16:G17"/>
    <mergeCell ref="A22:A23"/>
    <mergeCell ref="B22:B23"/>
    <mergeCell ref="C22:C23"/>
    <mergeCell ref="D22:D23"/>
    <mergeCell ref="E22:E23"/>
    <mergeCell ref="F22:F23"/>
    <mergeCell ref="G22:G23"/>
    <mergeCell ref="H22:H23"/>
    <mergeCell ref="C18:C19"/>
    <mergeCell ref="D18:D19"/>
    <mergeCell ref="E18:E19"/>
    <mergeCell ref="F18:F19"/>
    <mergeCell ref="I22:I23"/>
    <mergeCell ref="H18:H19"/>
    <mergeCell ref="I18:I19"/>
    <mergeCell ref="A20:A21"/>
    <mergeCell ref="I28:I29"/>
    <mergeCell ref="G18:G19"/>
    <mergeCell ref="H16:H17"/>
    <mergeCell ref="A24:A25"/>
    <mergeCell ref="B24:B25"/>
    <mergeCell ref="C24:C25"/>
    <mergeCell ref="D24:D25"/>
    <mergeCell ref="E24:E25"/>
    <mergeCell ref="F24:F25"/>
    <mergeCell ref="I26:I27"/>
    <mergeCell ref="A26:A27"/>
    <mergeCell ref="B26:B27"/>
    <mergeCell ref="C26:C27"/>
    <mergeCell ref="D26:D27"/>
    <mergeCell ref="E26:E27"/>
    <mergeCell ref="F26:F27"/>
    <mergeCell ref="G26:G27"/>
    <mergeCell ref="G24:G25"/>
    <mergeCell ref="H24:H25"/>
    <mergeCell ref="H20:H21"/>
    <mergeCell ref="I20:I21"/>
    <mergeCell ref="A18:A19"/>
    <mergeCell ref="B18:B19"/>
    <mergeCell ref="B20:B21"/>
    <mergeCell ref="F30:F31"/>
    <mergeCell ref="G30:G31"/>
    <mergeCell ref="H30:H31"/>
    <mergeCell ref="H26:H27"/>
    <mergeCell ref="A28:A29"/>
    <mergeCell ref="B28:B29"/>
    <mergeCell ref="C28:C29"/>
    <mergeCell ref="D28:D29"/>
    <mergeCell ref="E28:E29"/>
    <mergeCell ref="F28:F29"/>
    <mergeCell ref="G28:G29"/>
    <mergeCell ref="H28:H29"/>
    <mergeCell ref="I30:I31"/>
    <mergeCell ref="G32:G33"/>
    <mergeCell ref="H32:H33"/>
    <mergeCell ref="I32:I33"/>
    <mergeCell ref="A34:A35"/>
    <mergeCell ref="B34:B35"/>
    <mergeCell ref="C34:C35"/>
    <mergeCell ref="D34:D35"/>
    <mergeCell ref="E34:E35"/>
    <mergeCell ref="F34:F35"/>
    <mergeCell ref="G34:G35"/>
    <mergeCell ref="A32:A33"/>
    <mergeCell ref="B32:B33"/>
    <mergeCell ref="C32:C33"/>
    <mergeCell ref="D32:D33"/>
    <mergeCell ref="E32:E33"/>
    <mergeCell ref="F32:F33"/>
    <mergeCell ref="H34:H35"/>
    <mergeCell ref="I34:I35"/>
    <mergeCell ref="A30:A31"/>
    <mergeCell ref="B30:B31"/>
    <mergeCell ref="C30:C31"/>
    <mergeCell ref="D30:D31"/>
    <mergeCell ref="E30:E31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G40:G41"/>
    <mergeCell ref="H40:H41"/>
    <mergeCell ref="I40:I41"/>
    <mergeCell ref="A42:A43"/>
    <mergeCell ref="B42:B43"/>
    <mergeCell ref="C42:C43"/>
    <mergeCell ref="D42:D43"/>
    <mergeCell ref="E42:E43"/>
    <mergeCell ref="F42:F43"/>
    <mergeCell ref="G42:G43"/>
    <mergeCell ref="A40:A41"/>
    <mergeCell ref="B40:B41"/>
    <mergeCell ref="C40:C41"/>
    <mergeCell ref="D40:D41"/>
    <mergeCell ref="E40:E41"/>
    <mergeCell ref="F40:F41"/>
    <mergeCell ref="H42:H43"/>
    <mergeCell ref="I42:I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G48:G49"/>
    <mergeCell ref="H48:H49"/>
    <mergeCell ref="I48:I49"/>
    <mergeCell ref="A50:A51"/>
    <mergeCell ref="B50:B51"/>
    <mergeCell ref="C50:C51"/>
    <mergeCell ref="D50:D51"/>
    <mergeCell ref="E50:E51"/>
    <mergeCell ref="F50:F51"/>
    <mergeCell ref="G50:G51"/>
    <mergeCell ref="A48:A49"/>
    <mergeCell ref="B48:B49"/>
    <mergeCell ref="C48:C49"/>
    <mergeCell ref="D48:D49"/>
    <mergeCell ref="E48:E49"/>
    <mergeCell ref="F48:F49"/>
    <mergeCell ref="H50:H51"/>
    <mergeCell ref="I50:I51"/>
    <mergeCell ref="B57:D57"/>
    <mergeCell ref="E57:F57"/>
    <mergeCell ref="A64:F67"/>
    <mergeCell ref="H64:I65"/>
    <mergeCell ref="H66:I67"/>
    <mergeCell ref="A52:A53"/>
    <mergeCell ref="B52:B53"/>
    <mergeCell ref="C52:C53"/>
    <mergeCell ref="D52:D53"/>
    <mergeCell ref="E52:E53"/>
    <mergeCell ref="F52:F53"/>
    <mergeCell ref="G52:G53"/>
    <mergeCell ref="H52:H53"/>
    <mergeCell ref="AH64:AH65"/>
    <mergeCell ref="AB64:AC65"/>
    <mergeCell ref="AF64:AG65"/>
    <mergeCell ref="AI64:AJ65"/>
    <mergeCell ref="AP64:AQ65"/>
    <mergeCell ref="T67:U67"/>
    <mergeCell ref="H70:I71"/>
    <mergeCell ref="H72:I73"/>
    <mergeCell ref="I52:I53"/>
    <mergeCell ref="H68:I69"/>
    <mergeCell ref="M64:N65"/>
    <mergeCell ref="U64:V65"/>
    <mergeCell ref="AO67:AP67"/>
  </mergeCells>
  <phoneticPr fontId="3"/>
  <printOptions horizontalCentered="1"/>
  <pageMargins left="0.31496062992125984" right="0.31496062992125984" top="0.74803149606299213" bottom="0.74803149606299213" header="0.31496062992125984" footer="0.31496062992125984"/>
  <pageSetup paperSize="8" scale="7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F3CE-2149-4C1F-8BE5-DA07CAF35A7B}">
  <sheetPr>
    <pageSetUpPr fitToPage="1"/>
  </sheetPr>
  <dimension ref="A1:AW103"/>
  <sheetViews>
    <sheetView zoomScale="70" zoomScaleNormal="70" workbookViewId="0">
      <selection activeCell="AY95" sqref="AY95"/>
    </sheetView>
  </sheetViews>
  <sheetFormatPr defaultColWidth="8.69921875" defaultRowHeight="15" outlineLevelRow="1"/>
  <cols>
    <col min="1" max="1" width="4.19921875" style="1" bestFit="1" customWidth="1"/>
    <col min="2" max="3" width="5.19921875" style="1" customWidth="1"/>
    <col min="4" max="4" width="9.796875" style="1" customWidth="1"/>
    <col min="5" max="6" width="7.69921875" style="1" customWidth="1"/>
    <col min="7" max="7" width="10.19921875" style="1" bestFit="1" customWidth="1"/>
    <col min="8" max="8" width="10.69921875" style="1" customWidth="1"/>
    <col min="9" max="9" width="12.59765625" style="1" bestFit="1" customWidth="1"/>
    <col min="10" max="31" width="5.19921875" style="1" hidden="1" customWidth="1"/>
    <col min="32" max="46" width="5.19921875" style="1" customWidth="1"/>
    <col min="47" max="47" width="4.3984375" style="1" customWidth="1"/>
    <col min="48" max="16384" width="8.69921875" style="1"/>
  </cols>
  <sheetData>
    <row r="1" spans="1:45" ht="18.600000000000001">
      <c r="A1" s="320" t="s">
        <v>144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8"/>
      <c r="AS1" s="8"/>
    </row>
    <row r="2" spans="1:45" ht="15" customHeight="1">
      <c r="A2" s="2"/>
      <c r="J2" s="42"/>
      <c r="K2" s="42"/>
      <c r="L2" s="42"/>
      <c r="M2" s="42"/>
      <c r="W2" s="5"/>
      <c r="X2" s="5"/>
      <c r="Y2" s="5"/>
      <c r="Z2" s="5"/>
      <c r="AA2" s="5"/>
      <c r="AB2" s="5"/>
      <c r="AC2" s="5"/>
      <c r="AO2" s="321">
        <f ca="1">TODAY()</f>
        <v>46177</v>
      </c>
      <c r="AP2" s="321"/>
      <c r="AQ2" s="321"/>
      <c r="AR2" s="105"/>
      <c r="AS2" s="105"/>
    </row>
    <row r="3" spans="1:45" ht="19.95" customHeight="1">
      <c r="A3" s="51" t="s">
        <v>53</v>
      </c>
      <c r="E3" s="2"/>
      <c r="F3" s="12"/>
      <c r="G3" s="12"/>
      <c r="H3" s="12"/>
      <c r="I3" s="12"/>
      <c r="J3" s="5">
        <f>COUNTA(J6:J83)*0.5</f>
        <v>3</v>
      </c>
      <c r="K3" s="5"/>
      <c r="L3" s="5">
        <f t="shared" ref="L3:U3" si="0">COUNTA(L6:L83)*0.5</f>
        <v>1.5</v>
      </c>
      <c r="M3" s="5">
        <f t="shared" si="0"/>
        <v>1</v>
      </c>
      <c r="N3" s="5">
        <f t="shared" si="0"/>
        <v>2</v>
      </c>
      <c r="O3" s="5">
        <f t="shared" si="0"/>
        <v>2</v>
      </c>
      <c r="P3" s="5">
        <f t="shared" si="0"/>
        <v>3</v>
      </c>
      <c r="Q3" s="5">
        <f t="shared" si="0"/>
        <v>2.5</v>
      </c>
      <c r="R3" s="5">
        <f t="shared" si="0"/>
        <v>2.5</v>
      </c>
      <c r="S3" s="5">
        <f t="shared" si="0"/>
        <v>2</v>
      </c>
      <c r="T3" s="5">
        <f t="shared" si="0"/>
        <v>1.5</v>
      </c>
      <c r="U3" s="5">
        <f t="shared" si="0"/>
        <v>2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344" t="s">
        <v>244</v>
      </c>
      <c r="AL3" s="345"/>
      <c r="AM3" s="345"/>
      <c r="AN3" s="5"/>
      <c r="AO3" s="5"/>
      <c r="AP3" s="5"/>
      <c r="AQ3" s="199" t="s">
        <v>223</v>
      </c>
      <c r="AR3" s="198"/>
      <c r="AS3" s="5"/>
    </row>
    <row r="4" spans="1:45" ht="15" customHeight="1">
      <c r="A4" s="322" t="s">
        <v>0</v>
      </c>
      <c r="B4" s="322" t="s">
        <v>1</v>
      </c>
      <c r="C4" s="322" t="s">
        <v>2</v>
      </c>
      <c r="D4" s="322" t="s">
        <v>3</v>
      </c>
      <c r="E4" s="322" t="s">
        <v>4</v>
      </c>
      <c r="F4" s="322" t="s">
        <v>44</v>
      </c>
      <c r="G4" s="322" t="s">
        <v>5</v>
      </c>
      <c r="H4" s="322" t="s">
        <v>6</v>
      </c>
      <c r="I4" s="322" t="s">
        <v>7</v>
      </c>
      <c r="J4" s="9">
        <v>16</v>
      </c>
      <c r="K4" s="56">
        <f t="shared" ref="K4:M4" si="1">J4+1</f>
        <v>17</v>
      </c>
      <c r="L4" s="57">
        <f t="shared" si="1"/>
        <v>18</v>
      </c>
      <c r="M4" s="9">
        <f t="shared" si="1"/>
        <v>19</v>
      </c>
      <c r="N4" s="9">
        <f t="shared" ref="N4:AN4" si="2">M4+1</f>
        <v>20</v>
      </c>
      <c r="O4" s="9">
        <f t="shared" si="2"/>
        <v>21</v>
      </c>
      <c r="P4" s="9">
        <f t="shared" si="2"/>
        <v>22</v>
      </c>
      <c r="Q4" s="9">
        <f t="shared" si="2"/>
        <v>23</v>
      </c>
      <c r="R4" s="9">
        <f t="shared" si="2"/>
        <v>24</v>
      </c>
      <c r="S4" s="9">
        <f t="shared" si="2"/>
        <v>25</v>
      </c>
      <c r="T4" s="9">
        <f t="shared" si="2"/>
        <v>26</v>
      </c>
      <c r="U4" s="9">
        <f t="shared" si="2"/>
        <v>27</v>
      </c>
      <c r="V4" s="9">
        <f t="shared" si="2"/>
        <v>28</v>
      </c>
      <c r="W4" s="9">
        <f t="shared" si="2"/>
        <v>29</v>
      </c>
      <c r="X4" s="9">
        <f t="shared" si="2"/>
        <v>30</v>
      </c>
      <c r="Y4" s="9">
        <v>1</v>
      </c>
      <c r="Z4" s="9">
        <f t="shared" ref="Z4" si="3">Y4+1</f>
        <v>2</v>
      </c>
      <c r="AA4" s="9">
        <f t="shared" si="2"/>
        <v>3</v>
      </c>
      <c r="AB4" s="9">
        <f t="shared" si="2"/>
        <v>4</v>
      </c>
      <c r="AC4" s="9">
        <f t="shared" si="2"/>
        <v>5</v>
      </c>
      <c r="AD4" s="9">
        <f t="shared" si="2"/>
        <v>6</v>
      </c>
      <c r="AE4" s="9">
        <f t="shared" si="2"/>
        <v>7</v>
      </c>
      <c r="AF4" s="9">
        <f t="shared" si="2"/>
        <v>8</v>
      </c>
      <c r="AG4" s="9">
        <f t="shared" si="2"/>
        <v>9</v>
      </c>
      <c r="AH4" s="9">
        <f t="shared" si="2"/>
        <v>10</v>
      </c>
      <c r="AI4" s="9">
        <f t="shared" si="2"/>
        <v>11</v>
      </c>
      <c r="AJ4" s="9">
        <f t="shared" si="2"/>
        <v>12</v>
      </c>
      <c r="AK4" s="204">
        <f t="shared" si="2"/>
        <v>13</v>
      </c>
      <c r="AL4" s="204">
        <f t="shared" si="2"/>
        <v>14</v>
      </c>
      <c r="AM4" s="204">
        <f t="shared" si="2"/>
        <v>15</v>
      </c>
      <c r="AN4" s="9">
        <f t="shared" si="2"/>
        <v>16</v>
      </c>
      <c r="AO4" s="56">
        <f t="shared" ref="AO4:AS4" si="4">AN4+1</f>
        <v>17</v>
      </c>
      <c r="AP4" s="57">
        <f t="shared" si="4"/>
        <v>18</v>
      </c>
      <c r="AQ4" s="13">
        <f t="shared" si="4"/>
        <v>19</v>
      </c>
      <c r="AR4" s="13">
        <f t="shared" si="4"/>
        <v>20</v>
      </c>
      <c r="AS4" s="200">
        <f t="shared" si="4"/>
        <v>21</v>
      </c>
    </row>
    <row r="5" spans="1:45" ht="15" customHeight="1">
      <c r="A5" s="322"/>
      <c r="B5" s="322"/>
      <c r="C5" s="322"/>
      <c r="D5" s="322"/>
      <c r="E5" s="322"/>
      <c r="F5" s="322"/>
      <c r="G5" s="322"/>
      <c r="H5" s="322"/>
      <c r="I5" s="323"/>
      <c r="J5" s="30" t="s">
        <v>33</v>
      </c>
      <c r="K5" s="58" t="s">
        <v>34</v>
      </c>
      <c r="L5" s="73" t="s">
        <v>28</v>
      </c>
      <c r="M5" s="32" t="s">
        <v>29</v>
      </c>
      <c r="N5" s="30" t="s">
        <v>30</v>
      </c>
      <c r="O5" s="30" t="s">
        <v>31</v>
      </c>
      <c r="P5" s="30" t="s">
        <v>32</v>
      </c>
      <c r="Q5" s="30" t="s">
        <v>33</v>
      </c>
      <c r="R5" s="30" t="s">
        <v>34</v>
      </c>
      <c r="S5" s="31" t="s">
        <v>28</v>
      </c>
      <c r="T5" s="32" t="s">
        <v>29</v>
      </c>
      <c r="U5" s="30" t="s">
        <v>30</v>
      </c>
      <c r="V5" s="30" t="s">
        <v>31</v>
      </c>
      <c r="W5" s="124" t="s">
        <v>32</v>
      </c>
      <c r="X5" s="30" t="s">
        <v>33</v>
      </c>
      <c r="Y5" s="30" t="s">
        <v>34</v>
      </c>
      <c r="Z5" s="132" t="s">
        <v>28</v>
      </c>
      <c r="AA5" s="124" t="s">
        <v>29</v>
      </c>
      <c r="AB5" s="124" t="s">
        <v>30</v>
      </c>
      <c r="AC5" s="124" t="s">
        <v>31</v>
      </c>
      <c r="AD5" s="124" t="s">
        <v>32</v>
      </c>
      <c r="AE5" s="30" t="s">
        <v>33</v>
      </c>
      <c r="AF5" s="30" t="s">
        <v>34</v>
      </c>
      <c r="AG5" s="31" t="s">
        <v>28</v>
      </c>
      <c r="AH5" s="32" t="s">
        <v>29</v>
      </c>
      <c r="AI5" s="30" t="s">
        <v>30</v>
      </c>
      <c r="AJ5" s="30" t="s">
        <v>31</v>
      </c>
      <c r="AK5" s="30" t="s">
        <v>32</v>
      </c>
      <c r="AL5" s="202" t="s">
        <v>33</v>
      </c>
      <c r="AM5" s="202" t="s">
        <v>34</v>
      </c>
      <c r="AN5" s="203" t="s">
        <v>28</v>
      </c>
      <c r="AO5" s="71" t="s">
        <v>29</v>
      </c>
      <c r="AP5" s="59" t="s">
        <v>30</v>
      </c>
      <c r="AQ5" s="30" t="s">
        <v>31</v>
      </c>
      <c r="AR5" s="30" t="s">
        <v>32</v>
      </c>
      <c r="AS5" s="30" t="s">
        <v>33</v>
      </c>
    </row>
    <row r="6" spans="1:45" hidden="1">
      <c r="A6" s="292">
        <v>67</v>
      </c>
      <c r="B6" s="292">
        <v>2</v>
      </c>
      <c r="C6" s="292">
        <v>4</v>
      </c>
      <c r="D6" s="292"/>
      <c r="E6" s="292"/>
      <c r="F6" s="292"/>
      <c r="G6" s="292">
        <v>20252468</v>
      </c>
      <c r="H6" s="292" t="s">
        <v>99</v>
      </c>
      <c r="I6" s="292" t="s">
        <v>106</v>
      </c>
      <c r="J6" s="11"/>
      <c r="K6" s="61"/>
      <c r="L6" s="60"/>
      <c r="M6" s="1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61"/>
      <c r="AP6" s="60"/>
      <c r="AQ6" s="11"/>
      <c r="AR6" s="62"/>
      <c r="AS6" s="62"/>
    </row>
    <row r="7" spans="1:45" hidden="1">
      <c r="A7" s="293"/>
      <c r="B7" s="293"/>
      <c r="C7" s="293"/>
      <c r="D7" s="293"/>
      <c r="E7" s="293"/>
      <c r="F7" s="293"/>
      <c r="G7" s="293"/>
      <c r="H7" s="293"/>
      <c r="I7" s="293"/>
      <c r="J7" s="11"/>
      <c r="K7" s="10"/>
      <c r="L7" s="6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61"/>
      <c r="AP7" s="60"/>
      <c r="AQ7" s="11"/>
      <c r="AR7" s="62"/>
      <c r="AS7" s="62"/>
    </row>
    <row r="8" spans="1:45" hidden="1">
      <c r="A8" s="292">
        <v>68</v>
      </c>
      <c r="B8" s="292">
        <v>3</v>
      </c>
      <c r="C8" s="292">
        <v>5</v>
      </c>
      <c r="D8" s="292"/>
      <c r="E8" s="292"/>
      <c r="F8" s="292"/>
      <c r="G8" s="292">
        <v>20252470</v>
      </c>
      <c r="H8" s="292" t="s">
        <v>100</v>
      </c>
      <c r="I8" s="292" t="s">
        <v>105</v>
      </c>
      <c r="J8" s="11"/>
      <c r="K8" s="61"/>
      <c r="L8" s="60"/>
      <c r="M8" s="1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61"/>
      <c r="AP8" s="60"/>
      <c r="AQ8" s="11"/>
      <c r="AR8" s="62"/>
      <c r="AS8" s="62"/>
    </row>
    <row r="9" spans="1:45" hidden="1">
      <c r="A9" s="293"/>
      <c r="B9" s="293"/>
      <c r="C9" s="293"/>
      <c r="D9" s="293"/>
      <c r="E9" s="293"/>
      <c r="F9" s="293"/>
      <c r="G9" s="293"/>
      <c r="H9" s="293"/>
      <c r="I9" s="293"/>
      <c r="J9" s="11"/>
      <c r="K9" s="10"/>
      <c r="L9" s="6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61"/>
      <c r="AP9" s="60"/>
      <c r="AQ9" s="11"/>
      <c r="AR9" s="62"/>
      <c r="AS9" s="62"/>
    </row>
    <row r="10" spans="1:45" hidden="1">
      <c r="A10" s="292">
        <v>69</v>
      </c>
      <c r="B10" s="292">
        <v>4</v>
      </c>
      <c r="C10" s="292">
        <v>8</v>
      </c>
      <c r="D10" s="292"/>
      <c r="E10" s="292"/>
      <c r="F10" s="292"/>
      <c r="G10" s="292">
        <v>20252474</v>
      </c>
      <c r="H10" s="292" t="s">
        <v>101</v>
      </c>
      <c r="I10" s="292" t="s">
        <v>104</v>
      </c>
      <c r="J10" s="11"/>
      <c r="K10" s="61"/>
      <c r="L10" s="60"/>
      <c r="M10" s="1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61"/>
      <c r="AP10" s="60"/>
      <c r="AQ10" s="11"/>
      <c r="AR10" s="62"/>
      <c r="AS10" s="62"/>
    </row>
    <row r="11" spans="1:45" hidden="1">
      <c r="A11" s="293"/>
      <c r="B11" s="293"/>
      <c r="C11" s="293"/>
      <c r="D11" s="293"/>
      <c r="E11" s="293"/>
      <c r="F11" s="293"/>
      <c r="G11" s="293"/>
      <c r="H11" s="293"/>
      <c r="I11" s="293"/>
      <c r="J11" s="11"/>
      <c r="K11" s="10"/>
      <c r="L11" s="6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61"/>
      <c r="AP11" s="60"/>
      <c r="AQ11" s="11"/>
      <c r="AR11" s="62"/>
      <c r="AS11" s="62"/>
    </row>
    <row r="12" spans="1:45" hidden="1">
      <c r="A12" s="292">
        <v>70</v>
      </c>
      <c r="B12" s="292">
        <v>1</v>
      </c>
      <c r="C12" s="292">
        <v>2</v>
      </c>
      <c r="D12" s="292"/>
      <c r="E12" s="292"/>
      <c r="F12" s="292"/>
      <c r="G12" s="292">
        <v>20252477</v>
      </c>
      <c r="H12" s="292" t="s">
        <v>102</v>
      </c>
      <c r="I12" s="292" t="s">
        <v>107</v>
      </c>
      <c r="J12" s="11"/>
      <c r="K12" s="61"/>
      <c r="L12" s="60"/>
      <c r="M12" s="18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61"/>
      <c r="AP12" s="60"/>
      <c r="AQ12" s="11"/>
      <c r="AR12" s="62"/>
      <c r="AS12" s="62"/>
    </row>
    <row r="13" spans="1:45" hidden="1">
      <c r="A13" s="293"/>
      <c r="B13" s="293"/>
      <c r="C13" s="293"/>
      <c r="D13" s="293"/>
      <c r="E13" s="293"/>
      <c r="F13" s="293"/>
      <c r="G13" s="293"/>
      <c r="H13" s="293"/>
      <c r="I13" s="293"/>
      <c r="J13" s="11"/>
      <c r="K13" s="10"/>
      <c r="L13" s="6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61"/>
      <c r="AP13" s="60"/>
      <c r="AQ13" s="11"/>
      <c r="AR13" s="62"/>
      <c r="AS13" s="62"/>
    </row>
    <row r="14" spans="1:45" hidden="1">
      <c r="A14" s="292">
        <v>78</v>
      </c>
      <c r="B14" s="292"/>
      <c r="C14" s="292"/>
      <c r="D14" s="292"/>
      <c r="F14" s="292"/>
      <c r="G14" s="292"/>
      <c r="H14" s="292"/>
      <c r="I14" s="292"/>
      <c r="J14" s="11"/>
      <c r="K14" s="61"/>
      <c r="L14" s="60"/>
      <c r="M14" s="18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61"/>
      <c r="AP14" s="60"/>
      <c r="AQ14" s="11"/>
      <c r="AR14" s="62"/>
      <c r="AS14" s="62"/>
    </row>
    <row r="15" spans="1:45" hidden="1">
      <c r="A15" s="293"/>
      <c r="B15" s="293"/>
      <c r="C15" s="293"/>
      <c r="D15" s="293"/>
      <c r="F15" s="293"/>
      <c r="G15" s="293"/>
      <c r="H15" s="293"/>
      <c r="I15" s="293"/>
      <c r="J15" s="11"/>
      <c r="K15" s="10"/>
      <c r="L15" s="6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61"/>
      <c r="AP15" s="60"/>
      <c r="AQ15" s="11"/>
      <c r="AR15" s="62"/>
      <c r="AS15" s="62"/>
    </row>
    <row r="16" spans="1:45" hidden="1">
      <c r="A16" s="292">
        <v>79</v>
      </c>
      <c r="B16" s="292">
        <v>1</v>
      </c>
      <c r="C16" s="292"/>
      <c r="D16" s="292"/>
      <c r="E16" s="292"/>
      <c r="F16" s="292"/>
      <c r="G16" s="292">
        <v>20262046</v>
      </c>
      <c r="H16" s="292" t="s">
        <v>133</v>
      </c>
      <c r="I16" s="292" t="s">
        <v>136</v>
      </c>
      <c r="J16" s="11"/>
      <c r="K16" s="61"/>
      <c r="L16" s="60"/>
      <c r="M16" s="6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61"/>
      <c r="AP16" s="60"/>
      <c r="AQ16" s="11"/>
      <c r="AR16" s="62"/>
      <c r="AS16" s="62"/>
    </row>
    <row r="17" spans="1:45" hidden="1">
      <c r="A17" s="293"/>
      <c r="B17" s="293"/>
      <c r="C17" s="293"/>
      <c r="D17" s="293"/>
      <c r="E17" s="293"/>
      <c r="F17" s="293"/>
      <c r="G17" s="293"/>
      <c r="H17" s="293"/>
      <c r="I17" s="293"/>
      <c r="J17" s="11"/>
      <c r="K17" s="61"/>
      <c r="L17" s="60"/>
      <c r="M17" s="6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61"/>
      <c r="AP17" s="60"/>
      <c r="AQ17" s="11"/>
      <c r="AR17" s="62"/>
      <c r="AS17" s="62"/>
    </row>
    <row r="18" spans="1:45" hidden="1">
      <c r="A18" s="292">
        <v>80</v>
      </c>
      <c r="B18" s="292">
        <v>2</v>
      </c>
      <c r="C18" s="292">
        <v>3</v>
      </c>
      <c r="D18" s="292"/>
      <c r="E18" s="292"/>
      <c r="F18" s="292"/>
      <c r="G18" s="292">
        <v>20262051</v>
      </c>
      <c r="H18" s="292" t="s">
        <v>134</v>
      </c>
      <c r="I18" s="292" t="s">
        <v>137</v>
      </c>
      <c r="J18" s="22" t="s">
        <v>8</v>
      </c>
      <c r="K18" s="61"/>
      <c r="L18" s="60"/>
      <c r="M18" s="6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61"/>
      <c r="AP18" s="60"/>
      <c r="AQ18" s="11"/>
      <c r="AR18" s="62"/>
      <c r="AS18" s="62"/>
    </row>
    <row r="19" spans="1:45" hidden="1">
      <c r="A19" s="293"/>
      <c r="B19" s="293"/>
      <c r="C19" s="293"/>
      <c r="D19" s="293"/>
      <c r="E19" s="293"/>
      <c r="F19" s="293"/>
      <c r="G19" s="293"/>
      <c r="H19" s="293"/>
      <c r="I19" s="293"/>
      <c r="J19" s="34" t="s">
        <v>79</v>
      </c>
      <c r="K19" s="61"/>
      <c r="L19" s="60"/>
      <c r="M19" s="6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61"/>
      <c r="AP19" s="60"/>
      <c r="AQ19" s="11"/>
      <c r="AR19" s="62"/>
      <c r="AS19" s="62"/>
    </row>
    <row r="20" spans="1:45" hidden="1">
      <c r="A20" s="292">
        <v>81</v>
      </c>
      <c r="B20" s="292">
        <v>4</v>
      </c>
      <c r="C20" s="292">
        <v>7</v>
      </c>
      <c r="D20" s="292"/>
      <c r="E20" s="292"/>
      <c r="F20" s="292"/>
      <c r="G20" s="292">
        <v>20262057</v>
      </c>
      <c r="H20" s="292" t="s">
        <v>135</v>
      </c>
      <c r="I20" s="292" t="s">
        <v>138</v>
      </c>
      <c r="J20" s="62" t="s">
        <v>11</v>
      </c>
      <c r="K20" s="67" t="s">
        <v>78</v>
      </c>
      <c r="L20" s="63" t="s">
        <v>8</v>
      </c>
      <c r="M20" s="6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61"/>
      <c r="AP20" s="60"/>
      <c r="AQ20" s="11"/>
      <c r="AR20" s="62"/>
      <c r="AS20" s="62"/>
    </row>
    <row r="21" spans="1:45" hidden="1">
      <c r="A21" s="293"/>
      <c r="B21" s="293"/>
      <c r="C21" s="293"/>
      <c r="D21" s="293"/>
      <c r="E21" s="293"/>
      <c r="F21" s="293"/>
      <c r="G21" s="293"/>
      <c r="H21" s="293"/>
      <c r="I21" s="293"/>
      <c r="J21" s="62" t="s">
        <v>11</v>
      </c>
      <c r="K21" s="67" t="s">
        <v>78</v>
      </c>
      <c r="L21" s="113" t="s">
        <v>79</v>
      </c>
      <c r="M21" s="62"/>
      <c r="N21" s="11"/>
      <c r="O21" s="11"/>
      <c r="P21" s="11"/>
      <c r="Q21" s="114" t="s">
        <v>92</v>
      </c>
      <c r="R21" s="114" t="s">
        <v>92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61"/>
      <c r="AP21" s="60"/>
      <c r="AQ21" s="11"/>
      <c r="AR21" s="62"/>
      <c r="AS21" s="62"/>
    </row>
    <row r="22" spans="1:45" hidden="1">
      <c r="A22" s="292">
        <v>82</v>
      </c>
      <c r="B22" s="292">
        <v>1</v>
      </c>
      <c r="C22" s="292"/>
      <c r="D22" s="292"/>
      <c r="E22" s="292"/>
      <c r="F22" s="292"/>
      <c r="G22" s="292">
        <v>20262061</v>
      </c>
      <c r="H22" s="292" t="s">
        <v>142</v>
      </c>
      <c r="I22" s="292"/>
      <c r="J22" s="11"/>
      <c r="K22" s="61"/>
      <c r="L22" s="95"/>
      <c r="M22" s="62" t="s">
        <v>11</v>
      </c>
      <c r="N22" s="28" t="s">
        <v>78</v>
      </c>
      <c r="O22" s="28" t="s">
        <v>78</v>
      </c>
      <c r="P22" s="28" t="s">
        <v>78</v>
      </c>
      <c r="Q22" s="38" t="s">
        <v>47</v>
      </c>
      <c r="R22" s="38" t="s">
        <v>47</v>
      </c>
      <c r="S22" s="22" t="s">
        <v>8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61"/>
      <c r="AP22" s="60"/>
      <c r="AQ22" s="11"/>
      <c r="AR22" s="62"/>
      <c r="AS22" s="62"/>
    </row>
    <row r="23" spans="1:45" hidden="1">
      <c r="A23" s="293"/>
      <c r="B23" s="293"/>
      <c r="C23" s="293"/>
      <c r="D23" s="293"/>
      <c r="E23" s="293"/>
      <c r="F23" s="293"/>
      <c r="G23" s="293"/>
      <c r="H23" s="293"/>
      <c r="I23" s="293"/>
      <c r="J23" s="11"/>
      <c r="K23" s="61"/>
      <c r="L23" s="95" t="s">
        <v>37</v>
      </c>
      <c r="M23" s="62" t="s">
        <v>11</v>
      </c>
      <c r="N23" s="28" t="s">
        <v>78</v>
      </c>
      <c r="O23" s="28" t="s">
        <v>78</v>
      </c>
      <c r="P23" s="28" t="s">
        <v>78</v>
      </c>
      <c r="Q23" s="25" t="s">
        <v>15</v>
      </c>
      <c r="R23" s="25" t="s">
        <v>15</v>
      </c>
      <c r="S23" s="34" t="s">
        <v>79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61"/>
      <c r="AP23" s="60"/>
      <c r="AQ23" s="11"/>
      <c r="AR23" s="62"/>
      <c r="AS23" s="62"/>
    </row>
    <row r="24" spans="1:45" hidden="1">
      <c r="A24" s="292">
        <v>83</v>
      </c>
      <c r="B24" s="292">
        <v>2</v>
      </c>
      <c r="C24" s="292">
        <v>3</v>
      </c>
      <c r="D24" s="292"/>
      <c r="E24" s="292"/>
      <c r="F24" s="292"/>
      <c r="G24" s="292">
        <v>20262061</v>
      </c>
      <c r="H24" s="292" t="s">
        <v>143</v>
      </c>
      <c r="I24" s="292"/>
      <c r="J24" s="11"/>
      <c r="K24" s="61"/>
      <c r="L24" s="60"/>
      <c r="M24" s="11"/>
      <c r="N24" s="62" t="s">
        <v>11</v>
      </c>
      <c r="O24" s="62" t="s">
        <v>11</v>
      </c>
      <c r="P24" s="62" t="s">
        <v>11</v>
      </c>
      <c r="Q24" s="11"/>
      <c r="R24" s="11"/>
      <c r="S24" s="11"/>
      <c r="T24" s="95"/>
      <c r="U24" s="62" t="s">
        <v>11</v>
      </c>
      <c r="V24" s="74"/>
      <c r="W24" s="74"/>
      <c r="X24" s="74"/>
      <c r="Y24" s="74"/>
      <c r="Z24" s="74"/>
      <c r="AA24" s="7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61"/>
      <c r="AP24" s="60"/>
      <c r="AQ24" s="11"/>
      <c r="AR24" s="62"/>
      <c r="AS24" s="62"/>
    </row>
    <row r="25" spans="1:45" hidden="1">
      <c r="A25" s="293"/>
      <c r="B25" s="293"/>
      <c r="C25" s="293"/>
      <c r="D25" s="293"/>
      <c r="E25" s="293"/>
      <c r="F25" s="293"/>
      <c r="G25" s="293"/>
      <c r="H25" s="293"/>
      <c r="I25" s="293"/>
      <c r="J25" s="11"/>
      <c r="K25" s="10"/>
      <c r="L25" s="60"/>
      <c r="M25" s="11"/>
      <c r="N25" s="62" t="s">
        <v>11</v>
      </c>
      <c r="O25" s="62" t="s">
        <v>11</v>
      </c>
      <c r="P25" s="62" t="s">
        <v>11</v>
      </c>
      <c r="Q25" s="11"/>
      <c r="R25" s="11"/>
      <c r="S25" s="11"/>
      <c r="T25" s="95" t="s">
        <v>37</v>
      </c>
      <c r="U25" s="62" t="s">
        <v>11</v>
      </c>
      <c r="V25" s="74"/>
      <c r="W25" s="74"/>
      <c r="X25" s="74"/>
      <c r="Y25" s="74"/>
      <c r="Z25" s="74"/>
      <c r="AA25" s="7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61"/>
      <c r="AP25" s="60"/>
      <c r="AQ25" s="11"/>
      <c r="AR25" s="62"/>
      <c r="AS25" s="62"/>
    </row>
    <row r="26" spans="1:45" hidden="1">
      <c r="A26" s="292">
        <v>84</v>
      </c>
      <c r="B26" s="292"/>
      <c r="C26" s="292"/>
      <c r="D26" s="292"/>
      <c r="E26" s="292"/>
      <c r="F26" s="292"/>
      <c r="G26" s="292">
        <v>20262098</v>
      </c>
      <c r="H26" s="292" t="s">
        <v>152</v>
      </c>
      <c r="I26" s="292" t="s">
        <v>153</v>
      </c>
      <c r="J26" s="11"/>
      <c r="K26" s="61"/>
      <c r="L26" s="6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61"/>
      <c r="AP26" s="60"/>
      <c r="AQ26" s="11"/>
      <c r="AR26" s="62"/>
      <c r="AS26" s="62"/>
    </row>
    <row r="27" spans="1:45" hidden="1">
      <c r="A27" s="293"/>
      <c r="B27" s="293"/>
      <c r="C27" s="293"/>
      <c r="D27" s="293"/>
      <c r="E27" s="293"/>
      <c r="F27" s="293"/>
      <c r="G27" s="293"/>
      <c r="H27" s="293"/>
      <c r="I27" s="293"/>
      <c r="J27" s="11"/>
      <c r="K27" s="10"/>
      <c r="L27" s="6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61"/>
      <c r="AP27" s="60"/>
      <c r="AQ27" s="11"/>
      <c r="AR27" s="62"/>
      <c r="AS27" s="62"/>
    </row>
    <row r="28" spans="1:45" hidden="1">
      <c r="A28" s="292">
        <v>85</v>
      </c>
      <c r="B28" s="292">
        <v>3</v>
      </c>
      <c r="C28" s="292">
        <v>6</v>
      </c>
      <c r="D28" s="294">
        <v>46118</v>
      </c>
      <c r="E28" s="292"/>
      <c r="F28" s="292">
        <v>378</v>
      </c>
      <c r="G28" s="292">
        <v>20262090</v>
      </c>
      <c r="H28" s="292" t="s">
        <v>154</v>
      </c>
      <c r="I28" s="292" t="s">
        <v>155</v>
      </c>
      <c r="J28" s="22" t="s">
        <v>8</v>
      </c>
      <c r="K28" s="61"/>
      <c r="L28" s="60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61"/>
      <c r="AP28" s="60"/>
      <c r="AQ28" s="11"/>
      <c r="AR28" s="62"/>
      <c r="AS28" s="62"/>
    </row>
    <row r="29" spans="1:45" hidden="1">
      <c r="A29" s="293"/>
      <c r="B29" s="293"/>
      <c r="C29" s="293"/>
      <c r="D29" s="293"/>
      <c r="E29" s="293"/>
      <c r="F29" s="293"/>
      <c r="G29" s="293"/>
      <c r="H29" s="293"/>
      <c r="I29" s="293"/>
      <c r="J29" s="34" t="s">
        <v>172</v>
      </c>
      <c r="K29" s="10"/>
      <c r="L29" s="6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61"/>
      <c r="AP29" s="60"/>
      <c r="AQ29" s="11"/>
      <c r="AR29" s="62"/>
      <c r="AS29" s="62"/>
    </row>
    <row r="30" spans="1:45" ht="15" hidden="1" customHeight="1">
      <c r="A30" s="292">
        <v>1</v>
      </c>
      <c r="B30" s="331"/>
      <c r="C30" s="331"/>
      <c r="D30" s="333" t="s">
        <v>180</v>
      </c>
      <c r="E30" s="331"/>
      <c r="F30" s="331"/>
      <c r="G30" s="331">
        <v>20262111</v>
      </c>
      <c r="H30" s="331" t="s">
        <v>156</v>
      </c>
      <c r="I30" s="331" t="s">
        <v>157</v>
      </c>
      <c r="J30" s="146"/>
      <c r="K30" s="147"/>
      <c r="L30" s="148"/>
      <c r="M30" s="148"/>
      <c r="N30" s="149"/>
      <c r="O30" s="149"/>
      <c r="P30" s="150" t="s">
        <v>79</v>
      </c>
      <c r="Q30" s="148" t="s">
        <v>11</v>
      </c>
      <c r="R30" s="148" t="s">
        <v>11</v>
      </c>
      <c r="S30" s="151" t="s">
        <v>78</v>
      </c>
      <c r="T30" s="151" t="s">
        <v>78</v>
      </c>
      <c r="U30" s="148" t="s">
        <v>11</v>
      </c>
      <c r="V30" s="151" t="s">
        <v>78</v>
      </c>
      <c r="W30" s="149"/>
      <c r="X30" s="149"/>
      <c r="Y30" s="149"/>
      <c r="Z30" s="149"/>
      <c r="AA30" s="149"/>
      <c r="AB30" s="149"/>
      <c r="AC30" s="149"/>
      <c r="AD30" s="149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3"/>
      <c r="AP30" s="60"/>
      <c r="AQ30" s="11"/>
      <c r="AR30" s="62"/>
      <c r="AS30" s="62"/>
    </row>
    <row r="31" spans="1:45" ht="15" hidden="1" customHeight="1">
      <c r="A31" s="293"/>
      <c r="B31" s="332"/>
      <c r="C31" s="332"/>
      <c r="D31" s="334"/>
      <c r="E31" s="332"/>
      <c r="F31" s="332"/>
      <c r="G31" s="332"/>
      <c r="H31" s="332"/>
      <c r="I31" s="332"/>
      <c r="J31" s="146"/>
      <c r="K31" s="147"/>
      <c r="L31" s="148"/>
      <c r="M31" s="148"/>
      <c r="N31" s="148"/>
      <c r="O31" s="148"/>
      <c r="P31" s="152" t="s">
        <v>37</v>
      </c>
      <c r="Q31" s="148" t="s">
        <v>11</v>
      </c>
      <c r="R31" s="148" t="s">
        <v>11</v>
      </c>
      <c r="S31" s="151" t="s">
        <v>78</v>
      </c>
      <c r="T31" s="151" t="s">
        <v>78</v>
      </c>
      <c r="U31" s="148" t="s">
        <v>11</v>
      </c>
      <c r="V31" s="151" t="s">
        <v>78</v>
      </c>
      <c r="W31" s="149"/>
      <c r="X31" s="149"/>
      <c r="Y31" s="149"/>
      <c r="Z31" s="149"/>
      <c r="AA31" s="149"/>
      <c r="AB31" s="149"/>
      <c r="AC31" s="149"/>
      <c r="AD31" s="149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3"/>
      <c r="AP31" s="60"/>
      <c r="AQ31" s="11"/>
      <c r="AR31" s="62"/>
      <c r="AS31" s="62"/>
    </row>
    <row r="32" spans="1:45" hidden="1">
      <c r="A32" s="292">
        <v>2</v>
      </c>
      <c r="B32" s="331"/>
      <c r="C32" s="331"/>
      <c r="D32" s="333" t="s">
        <v>180</v>
      </c>
      <c r="E32" s="331"/>
      <c r="F32" s="331"/>
      <c r="G32" s="331">
        <v>20262129</v>
      </c>
      <c r="H32" s="331" t="s">
        <v>163</v>
      </c>
      <c r="I32" s="331" t="s">
        <v>166</v>
      </c>
      <c r="J32" s="146"/>
      <c r="K32" s="147"/>
      <c r="L32" s="155"/>
      <c r="M32" s="148"/>
      <c r="N32" s="148"/>
      <c r="O32" s="148"/>
      <c r="P32" s="148"/>
      <c r="Q32" s="149"/>
      <c r="R32" s="149"/>
      <c r="S32" s="148"/>
      <c r="T32" s="148"/>
      <c r="U32" s="149"/>
      <c r="V32" s="150" t="s">
        <v>79</v>
      </c>
      <c r="W32" s="151" t="s">
        <v>78</v>
      </c>
      <c r="X32" s="148" t="s">
        <v>11</v>
      </c>
      <c r="Y32" s="148" t="s">
        <v>11</v>
      </c>
      <c r="Z32" s="149"/>
      <c r="AA32" s="149"/>
      <c r="AB32" s="149"/>
      <c r="AC32" s="149"/>
      <c r="AD32" s="149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3"/>
      <c r="AP32" s="60"/>
      <c r="AQ32" s="11"/>
      <c r="AR32" s="62"/>
      <c r="AS32" s="62"/>
    </row>
    <row r="33" spans="1:45" hidden="1">
      <c r="A33" s="293"/>
      <c r="B33" s="332"/>
      <c r="C33" s="332"/>
      <c r="D33" s="334"/>
      <c r="E33" s="332"/>
      <c r="F33" s="332"/>
      <c r="G33" s="332"/>
      <c r="H33" s="332"/>
      <c r="I33" s="332"/>
      <c r="J33" s="146"/>
      <c r="K33" s="147"/>
      <c r="L33" s="155"/>
      <c r="M33" s="148"/>
      <c r="N33" s="148"/>
      <c r="O33" s="148"/>
      <c r="P33" s="148"/>
      <c r="Q33" s="149"/>
      <c r="R33" s="149"/>
      <c r="S33" s="148"/>
      <c r="T33" s="148"/>
      <c r="U33" s="149"/>
      <c r="V33" s="152" t="s">
        <v>37</v>
      </c>
      <c r="W33" s="151" t="s">
        <v>78</v>
      </c>
      <c r="X33" s="148" t="s">
        <v>11</v>
      </c>
      <c r="Y33" s="148" t="s">
        <v>11</v>
      </c>
      <c r="Z33" s="149"/>
      <c r="AA33" s="149"/>
      <c r="AB33" s="149"/>
      <c r="AC33" s="149"/>
      <c r="AD33" s="149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3"/>
      <c r="AP33" s="60"/>
      <c r="AQ33" s="11"/>
      <c r="AR33" s="62"/>
      <c r="AS33" s="62"/>
    </row>
    <row r="34" spans="1:45">
      <c r="A34" s="292">
        <v>3</v>
      </c>
      <c r="B34" s="292">
        <v>3</v>
      </c>
      <c r="C34" s="292">
        <v>6</v>
      </c>
      <c r="D34" s="292"/>
      <c r="E34" s="342" t="s">
        <v>214</v>
      </c>
      <c r="F34" s="292">
        <v>134</v>
      </c>
      <c r="G34" s="335">
        <v>20262132</v>
      </c>
      <c r="H34" s="335" t="s">
        <v>164</v>
      </c>
      <c r="I34" s="335" t="s">
        <v>165</v>
      </c>
      <c r="J34" s="11"/>
      <c r="K34" s="61"/>
      <c r="L34" s="60"/>
      <c r="M34" s="62"/>
      <c r="N34" s="11"/>
      <c r="O34" s="11"/>
      <c r="P34" s="11"/>
      <c r="Q34" s="11"/>
      <c r="R34" s="11"/>
      <c r="S34" s="62"/>
      <c r="T34" s="62"/>
      <c r="U34" s="11"/>
      <c r="V34" s="11"/>
      <c r="W34" s="62"/>
      <c r="X34" s="11"/>
      <c r="Y34" s="11"/>
      <c r="Z34" s="62" t="s">
        <v>11</v>
      </c>
      <c r="AA34" s="62" t="s">
        <v>11</v>
      </c>
      <c r="AB34" s="62" t="s">
        <v>11</v>
      </c>
      <c r="AC34" s="62" t="s">
        <v>11</v>
      </c>
      <c r="AD34" s="62" t="s">
        <v>11</v>
      </c>
      <c r="AE34" s="11"/>
      <c r="AF34" s="11"/>
      <c r="AG34" s="62" t="s">
        <v>11</v>
      </c>
      <c r="AH34" s="62" t="s">
        <v>11</v>
      </c>
      <c r="AI34" s="62"/>
      <c r="AJ34" s="62"/>
      <c r="AK34" s="62"/>
      <c r="AL34" s="62"/>
      <c r="AM34" s="115" t="s">
        <v>249</v>
      </c>
      <c r="AN34" s="62" t="s">
        <v>11</v>
      </c>
      <c r="AO34" s="62" t="s">
        <v>11</v>
      </c>
      <c r="AP34" s="143" t="s">
        <v>78</v>
      </c>
      <c r="AQ34" s="143" t="s">
        <v>78</v>
      </c>
      <c r="AR34" s="15" t="s">
        <v>16</v>
      </c>
      <c r="AS34" s="141" t="s">
        <v>47</v>
      </c>
    </row>
    <row r="35" spans="1:45">
      <c r="A35" s="293"/>
      <c r="B35" s="293"/>
      <c r="C35" s="293"/>
      <c r="D35" s="293"/>
      <c r="E35" s="343"/>
      <c r="F35" s="293"/>
      <c r="G35" s="336"/>
      <c r="H35" s="336"/>
      <c r="I35" s="336"/>
      <c r="J35" s="11"/>
      <c r="K35" s="61"/>
      <c r="L35" s="60"/>
      <c r="M35" s="62"/>
      <c r="N35" s="11"/>
      <c r="O35" s="11"/>
      <c r="P35" s="11"/>
      <c r="Q35" s="11"/>
      <c r="R35" s="11"/>
      <c r="S35" s="62"/>
      <c r="T35" s="62"/>
      <c r="U35" s="11"/>
      <c r="V35" s="11"/>
      <c r="W35" s="62"/>
      <c r="X35" s="11"/>
      <c r="Y35" s="11"/>
      <c r="Z35" s="62" t="s">
        <v>11</v>
      </c>
      <c r="AA35" s="62" t="s">
        <v>11</v>
      </c>
      <c r="AB35" s="62" t="s">
        <v>11</v>
      </c>
      <c r="AC35" s="62" t="s">
        <v>11</v>
      </c>
      <c r="AD35" s="62" t="s">
        <v>11</v>
      </c>
      <c r="AE35" s="11"/>
      <c r="AF35" s="11"/>
      <c r="AG35" s="62" t="s">
        <v>11</v>
      </c>
      <c r="AH35" s="62" t="s">
        <v>11</v>
      </c>
      <c r="AI35" s="62"/>
      <c r="AJ35" s="62"/>
      <c r="AK35" s="62"/>
      <c r="AL35" s="62"/>
      <c r="AM35" s="39" t="s">
        <v>37</v>
      </c>
      <c r="AN35" s="62" t="s">
        <v>11</v>
      </c>
      <c r="AO35" s="62" t="s">
        <v>11</v>
      </c>
      <c r="AP35" s="210" t="s">
        <v>253</v>
      </c>
      <c r="AQ35" s="143" t="s">
        <v>78</v>
      </c>
      <c r="AR35" s="20" t="s">
        <v>13</v>
      </c>
      <c r="AS35" s="25" t="s">
        <v>15</v>
      </c>
    </row>
    <row r="36" spans="1:45">
      <c r="A36" s="292">
        <v>4</v>
      </c>
      <c r="B36" s="292">
        <v>2</v>
      </c>
      <c r="C36" s="292">
        <v>3</v>
      </c>
      <c r="D36" s="292"/>
      <c r="E36" s="292"/>
      <c r="F36" s="292">
        <v>263</v>
      </c>
      <c r="G36" s="335">
        <v>20262141</v>
      </c>
      <c r="H36" s="335" t="s">
        <v>169</v>
      </c>
      <c r="I36" s="335" t="s">
        <v>193</v>
      </c>
      <c r="J36" s="11"/>
      <c r="K36" s="61"/>
      <c r="L36" s="60"/>
      <c r="M36" s="62"/>
      <c r="N36" s="11"/>
      <c r="O36" s="11"/>
      <c r="P36" s="11"/>
      <c r="Q36" s="11"/>
      <c r="R36" s="11"/>
      <c r="S36" s="62"/>
      <c r="T36" s="62"/>
      <c r="U36" s="11"/>
      <c r="V36" s="11"/>
      <c r="W36" s="62"/>
      <c r="X36" s="11"/>
      <c r="Y36" s="11"/>
      <c r="Z36" s="62" t="s">
        <v>11</v>
      </c>
      <c r="AA36" s="62" t="s">
        <v>11</v>
      </c>
      <c r="AB36" s="62" t="s">
        <v>11</v>
      </c>
      <c r="AC36" s="62" t="s">
        <v>11</v>
      </c>
      <c r="AD36" s="62" t="s">
        <v>11</v>
      </c>
      <c r="AE36" s="11"/>
      <c r="AF36" s="11"/>
      <c r="AG36" s="62" t="s">
        <v>11</v>
      </c>
      <c r="AH36" s="62" t="s">
        <v>11</v>
      </c>
      <c r="AI36" s="115" t="s">
        <v>245</v>
      </c>
      <c r="AJ36" s="141" t="s">
        <v>47</v>
      </c>
      <c r="AK36" s="15" t="s">
        <v>16</v>
      </c>
      <c r="AL36" s="143" t="s">
        <v>78</v>
      </c>
      <c r="AM36" s="143" t="s">
        <v>78</v>
      </c>
      <c r="AN36" s="62" t="s">
        <v>11</v>
      </c>
      <c r="AO36" s="154" t="s">
        <v>78</v>
      </c>
      <c r="AP36" s="63" t="s">
        <v>8</v>
      </c>
      <c r="AQ36" s="11"/>
      <c r="AR36" s="62"/>
      <c r="AS36" s="62"/>
    </row>
    <row r="37" spans="1:45">
      <c r="A37" s="293"/>
      <c r="B37" s="293"/>
      <c r="C37" s="293"/>
      <c r="D37" s="293"/>
      <c r="E37" s="293"/>
      <c r="F37" s="293"/>
      <c r="G37" s="336"/>
      <c r="H37" s="336"/>
      <c r="I37" s="336"/>
      <c r="J37" s="11"/>
      <c r="K37" s="10"/>
      <c r="L37" s="60"/>
      <c r="M37" s="62"/>
      <c r="N37" s="11"/>
      <c r="O37" s="11"/>
      <c r="P37" s="11"/>
      <c r="Q37" s="11"/>
      <c r="R37" s="11"/>
      <c r="S37" s="62"/>
      <c r="T37" s="62"/>
      <c r="U37" s="11"/>
      <c r="V37" s="11"/>
      <c r="W37" s="62"/>
      <c r="X37" s="11"/>
      <c r="Y37" s="11"/>
      <c r="Z37" s="62" t="s">
        <v>11</v>
      </c>
      <c r="AA37" s="62" t="s">
        <v>11</v>
      </c>
      <c r="AB37" s="62" t="s">
        <v>11</v>
      </c>
      <c r="AC37" s="62" t="s">
        <v>11</v>
      </c>
      <c r="AD37" s="62" t="s">
        <v>11</v>
      </c>
      <c r="AE37" s="11"/>
      <c r="AF37" s="11"/>
      <c r="AG37" s="62" t="s">
        <v>11</v>
      </c>
      <c r="AH37" s="62" t="s">
        <v>11</v>
      </c>
      <c r="AI37" s="39" t="s">
        <v>37</v>
      </c>
      <c r="AJ37" s="25" t="s">
        <v>15</v>
      </c>
      <c r="AK37" s="20" t="s">
        <v>13</v>
      </c>
      <c r="AL37" s="143" t="s">
        <v>78</v>
      </c>
      <c r="AM37" s="205" t="s">
        <v>251</v>
      </c>
      <c r="AN37" s="62" t="s">
        <v>11</v>
      </c>
      <c r="AO37" s="194" t="s">
        <v>57</v>
      </c>
      <c r="AP37" s="113" t="s">
        <v>254</v>
      </c>
      <c r="AQ37" s="11"/>
      <c r="AR37" s="62"/>
      <c r="AS37" s="62"/>
    </row>
    <row r="38" spans="1:45" outlineLevel="1">
      <c r="A38" s="292">
        <v>5</v>
      </c>
      <c r="B38" s="292">
        <v>2</v>
      </c>
      <c r="C38" s="292">
        <v>3</v>
      </c>
      <c r="D38" s="292"/>
      <c r="E38" s="292"/>
      <c r="F38" s="292">
        <v>880</v>
      </c>
      <c r="G38" s="335">
        <v>20262148</v>
      </c>
      <c r="H38" s="335" t="s">
        <v>170</v>
      </c>
      <c r="I38" s="335" t="s">
        <v>194</v>
      </c>
      <c r="J38" s="11"/>
      <c r="K38" s="61"/>
      <c r="L38" s="60"/>
      <c r="M38" s="62"/>
      <c r="N38" s="11"/>
      <c r="O38" s="11"/>
      <c r="P38" s="11"/>
      <c r="Q38" s="11"/>
      <c r="R38" s="11"/>
      <c r="S38" s="62"/>
      <c r="T38" s="62"/>
      <c r="U38" s="11"/>
      <c r="V38" s="11"/>
      <c r="W38" s="62"/>
      <c r="X38" s="11"/>
      <c r="Y38" s="11"/>
      <c r="Z38" s="62" t="s">
        <v>11</v>
      </c>
      <c r="AA38" s="62" t="s">
        <v>11</v>
      </c>
      <c r="AB38" s="62" t="s">
        <v>11</v>
      </c>
      <c r="AC38" s="62" t="s">
        <v>11</v>
      </c>
      <c r="AD38" s="62" t="s">
        <v>11</v>
      </c>
      <c r="AE38" s="11"/>
      <c r="AF38" s="11"/>
      <c r="AG38" s="62" t="s">
        <v>11</v>
      </c>
      <c r="AH38" s="62" t="s">
        <v>11</v>
      </c>
      <c r="AI38" s="115" t="s">
        <v>245</v>
      </c>
      <c r="AJ38" s="141" t="s">
        <v>47</v>
      </c>
      <c r="AK38" s="15" t="s">
        <v>16</v>
      </c>
      <c r="AL38" s="143" t="s">
        <v>78</v>
      </c>
      <c r="AM38" s="143" t="s">
        <v>78</v>
      </c>
      <c r="AN38" s="62" t="s">
        <v>11</v>
      </c>
      <c r="AO38" s="154" t="s">
        <v>78</v>
      </c>
      <c r="AP38" s="63" t="s">
        <v>8</v>
      </c>
      <c r="AQ38" s="11"/>
      <c r="AR38" s="62"/>
      <c r="AS38" s="62"/>
    </row>
    <row r="39" spans="1:45" outlineLevel="1">
      <c r="A39" s="293"/>
      <c r="B39" s="293"/>
      <c r="C39" s="293"/>
      <c r="D39" s="293"/>
      <c r="E39" s="293"/>
      <c r="F39" s="293"/>
      <c r="G39" s="336"/>
      <c r="H39" s="336"/>
      <c r="I39" s="336"/>
      <c r="J39" s="11"/>
      <c r="K39" s="10"/>
      <c r="L39" s="60"/>
      <c r="M39" s="62"/>
      <c r="N39" s="11"/>
      <c r="O39" s="11"/>
      <c r="P39" s="11"/>
      <c r="Q39" s="11"/>
      <c r="R39" s="11"/>
      <c r="S39" s="62"/>
      <c r="T39" s="62"/>
      <c r="U39" s="11"/>
      <c r="V39" s="11"/>
      <c r="W39" s="62"/>
      <c r="X39" s="11"/>
      <c r="Y39" s="11"/>
      <c r="Z39" s="62" t="s">
        <v>11</v>
      </c>
      <c r="AA39" s="62" t="s">
        <v>11</v>
      </c>
      <c r="AB39" s="62" t="s">
        <v>11</v>
      </c>
      <c r="AC39" s="62" t="s">
        <v>11</v>
      </c>
      <c r="AD39" s="62" t="s">
        <v>11</v>
      </c>
      <c r="AE39" s="11"/>
      <c r="AF39" s="11"/>
      <c r="AG39" s="62" t="s">
        <v>11</v>
      </c>
      <c r="AH39" s="62" t="s">
        <v>11</v>
      </c>
      <c r="AI39" s="39" t="s">
        <v>37</v>
      </c>
      <c r="AJ39" s="25" t="s">
        <v>15</v>
      </c>
      <c r="AK39" s="20" t="s">
        <v>13</v>
      </c>
      <c r="AL39" s="143" t="s">
        <v>78</v>
      </c>
      <c r="AM39" s="205" t="s">
        <v>251</v>
      </c>
      <c r="AN39" s="62" t="s">
        <v>11</v>
      </c>
      <c r="AO39" s="194" t="s">
        <v>57</v>
      </c>
      <c r="AP39" s="113" t="s">
        <v>255</v>
      </c>
      <c r="AQ39" s="11"/>
      <c r="AR39" s="11"/>
      <c r="AS39" s="11"/>
    </row>
    <row r="40" spans="1:45" outlineLevel="1">
      <c r="A40" s="292">
        <v>6</v>
      </c>
      <c r="B40" s="292">
        <v>4</v>
      </c>
      <c r="C40" s="292">
        <v>7</v>
      </c>
      <c r="D40" s="292"/>
      <c r="E40" s="292"/>
      <c r="F40" s="292">
        <v>306</v>
      </c>
      <c r="G40" s="335">
        <v>20262152</v>
      </c>
      <c r="H40" s="335" t="s">
        <v>171</v>
      </c>
      <c r="I40" s="335" t="s">
        <v>192</v>
      </c>
      <c r="J40" s="11"/>
      <c r="K40" s="61"/>
      <c r="L40" s="60"/>
      <c r="M40" s="62"/>
      <c r="N40" s="11"/>
      <c r="O40" s="11"/>
      <c r="P40" s="11"/>
      <c r="Q40" s="11"/>
      <c r="R40" s="11"/>
      <c r="S40" s="62"/>
      <c r="T40" s="62"/>
      <c r="U40" s="11"/>
      <c r="V40" s="11"/>
      <c r="W40" s="62"/>
      <c r="X40" s="11"/>
      <c r="Y40" s="11"/>
      <c r="Z40" s="62" t="s">
        <v>11</v>
      </c>
      <c r="AA40" s="62" t="s">
        <v>11</v>
      </c>
      <c r="AB40" s="62" t="s">
        <v>11</v>
      </c>
      <c r="AC40" s="62" t="s">
        <v>11</v>
      </c>
      <c r="AD40" s="62" t="s">
        <v>11</v>
      </c>
      <c r="AE40" s="11"/>
      <c r="AF40" s="115" t="s">
        <v>224</v>
      </c>
      <c r="AG40" s="143" t="s">
        <v>78</v>
      </c>
      <c r="AH40" s="143" t="s">
        <v>78</v>
      </c>
      <c r="AI40" s="62" t="s">
        <v>11</v>
      </c>
      <c r="AJ40" s="141" t="s">
        <v>47</v>
      </c>
      <c r="AK40" s="15" t="s">
        <v>16</v>
      </c>
      <c r="AL40" s="143" t="s">
        <v>78</v>
      </c>
      <c r="AM40" s="62" t="s">
        <v>11</v>
      </c>
      <c r="AN40" s="143" t="s">
        <v>78</v>
      </c>
      <c r="AO40" s="143" t="s">
        <v>78</v>
      </c>
      <c r="AP40" s="214" t="s">
        <v>11</v>
      </c>
      <c r="AQ40" s="11"/>
      <c r="AR40" s="62"/>
      <c r="AS40" s="62"/>
    </row>
    <row r="41" spans="1:45" ht="15.6" outlineLevel="1" thickBot="1">
      <c r="A41" s="293"/>
      <c r="B41" s="293"/>
      <c r="C41" s="293"/>
      <c r="D41" s="293"/>
      <c r="E41" s="293"/>
      <c r="F41" s="293"/>
      <c r="G41" s="336"/>
      <c r="H41" s="336"/>
      <c r="I41" s="336"/>
      <c r="J41" s="11"/>
      <c r="K41" s="10"/>
      <c r="L41" s="60"/>
      <c r="M41" s="62"/>
      <c r="N41" s="11"/>
      <c r="O41" s="11"/>
      <c r="P41" s="11"/>
      <c r="Q41" s="11"/>
      <c r="R41" s="11"/>
      <c r="S41" s="62"/>
      <c r="T41" s="62"/>
      <c r="U41" s="11"/>
      <c r="V41" s="11"/>
      <c r="W41" s="62"/>
      <c r="X41" s="11"/>
      <c r="Y41" s="11"/>
      <c r="Z41" s="62" t="s">
        <v>11</v>
      </c>
      <c r="AA41" s="62" t="s">
        <v>11</v>
      </c>
      <c r="AB41" s="62" t="s">
        <v>11</v>
      </c>
      <c r="AC41" s="62" t="s">
        <v>11</v>
      </c>
      <c r="AD41" s="62" t="s">
        <v>11</v>
      </c>
      <c r="AE41" s="80"/>
      <c r="AF41" s="86" t="s">
        <v>37</v>
      </c>
      <c r="AG41" s="159" t="s">
        <v>78</v>
      </c>
      <c r="AH41" s="159" t="s">
        <v>78</v>
      </c>
      <c r="AI41" s="97" t="s">
        <v>11</v>
      </c>
      <c r="AJ41" s="82" t="s">
        <v>15</v>
      </c>
      <c r="AK41" s="160" t="s">
        <v>13</v>
      </c>
      <c r="AL41" s="159" t="s">
        <v>78</v>
      </c>
      <c r="AM41" s="97" t="s">
        <v>11</v>
      </c>
      <c r="AN41" s="212" t="s">
        <v>251</v>
      </c>
      <c r="AO41" s="212" t="s">
        <v>251</v>
      </c>
      <c r="AP41" s="214" t="s">
        <v>11</v>
      </c>
      <c r="AQ41" s="80"/>
      <c r="AR41" s="97"/>
      <c r="AS41" s="97"/>
    </row>
    <row r="42" spans="1:45" ht="15" customHeight="1" outlineLevel="1" thickTop="1">
      <c r="A42" s="292">
        <v>7</v>
      </c>
      <c r="B42" s="292">
        <v>4</v>
      </c>
      <c r="C42" s="292"/>
      <c r="D42" s="292"/>
      <c r="E42" s="337" t="s">
        <v>176</v>
      </c>
      <c r="F42" s="292">
        <v>145</v>
      </c>
      <c r="G42" s="335">
        <v>20263502</v>
      </c>
      <c r="H42" s="335" t="s">
        <v>225</v>
      </c>
      <c r="I42" s="335" t="s">
        <v>226</v>
      </c>
      <c r="J42" s="11"/>
      <c r="K42" s="61"/>
      <c r="L42" s="60"/>
      <c r="M42" s="62"/>
      <c r="N42" s="11"/>
      <c r="O42" s="11"/>
      <c r="P42" s="11"/>
      <c r="Q42" s="11"/>
      <c r="R42" s="11"/>
      <c r="S42" s="62"/>
      <c r="T42" s="62"/>
      <c r="U42" s="62"/>
      <c r="V42" s="11"/>
      <c r="W42" s="62"/>
      <c r="X42" s="11"/>
      <c r="Y42" s="11"/>
      <c r="Z42" s="358" t="s">
        <v>177</v>
      </c>
      <c r="AA42" s="359"/>
      <c r="AB42" s="359"/>
      <c r="AC42" s="360"/>
      <c r="AD42" s="92" t="s">
        <v>11</v>
      </c>
      <c r="AE42" s="78"/>
      <c r="AF42" s="78"/>
      <c r="AG42" s="92" t="s">
        <v>11</v>
      </c>
      <c r="AH42" s="92" t="s">
        <v>11</v>
      </c>
      <c r="AI42" s="115" t="s">
        <v>245</v>
      </c>
      <c r="AJ42" s="161" t="s">
        <v>47</v>
      </c>
      <c r="AK42" s="94" t="s">
        <v>16</v>
      </c>
      <c r="AL42" s="78" t="s">
        <v>11</v>
      </c>
      <c r="AM42" s="92" t="s">
        <v>11</v>
      </c>
      <c r="AN42" s="143" t="s">
        <v>78</v>
      </c>
      <c r="AO42" s="143" t="s">
        <v>78</v>
      </c>
      <c r="AP42" s="92" t="s">
        <v>11</v>
      </c>
      <c r="AQ42" s="142" t="s">
        <v>78</v>
      </c>
      <c r="AR42" s="142" t="s">
        <v>78</v>
      </c>
      <c r="AS42" s="92" t="s">
        <v>11</v>
      </c>
    </row>
    <row r="43" spans="1:45" ht="15" customHeight="1" outlineLevel="1">
      <c r="A43" s="293"/>
      <c r="B43" s="293"/>
      <c r="C43" s="293"/>
      <c r="D43" s="293"/>
      <c r="E43" s="338"/>
      <c r="F43" s="293"/>
      <c r="G43" s="336"/>
      <c r="H43" s="336"/>
      <c r="I43" s="336"/>
      <c r="J43" s="11"/>
      <c r="K43" s="10"/>
      <c r="L43" s="60"/>
      <c r="M43" s="62"/>
      <c r="N43" s="11"/>
      <c r="O43" s="11"/>
      <c r="P43" s="11"/>
      <c r="Q43" s="11"/>
      <c r="R43" s="11"/>
      <c r="S43" s="62"/>
      <c r="T43" s="62"/>
      <c r="U43" s="62"/>
      <c r="V43" s="11"/>
      <c r="W43" s="62"/>
      <c r="X43" s="11"/>
      <c r="Y43" s="11"/>
      <c r="Z43" s="361"/>
      <c r="AA43" s="362"/>
      <c r="AB43" s="362"/>
      <c r="AC43" s="363"/>
      <c r="AD43" s="62" t="s">
        <v>11</v>
      </c>
      <c r="AE43" s="11"/>
      <c r="AF43" s="11"/>
      <c r="AG43" s="62" t="s">
        <v>11</v>
      </c>
      <c r="AH43" s="62" t="s">
        <v>11</v>
      </c>
      <c r="AI43" s="39" t="s">
        <v>37</v>
      </c>
      <c r="AJ43" s="25" t="s">
        <v>15</v>
      </c>
      <c r="AK43" s="20" t="s">
        <v>13</v>
      </c>
      <c r="AL43" s="62" t="s">
        <v>11</v>
      </c>
      <c r="AM43" s="62" t="s">
        <v>11</v>
      </c>
      <c r="AN43" s="211" t="s">
        <v>251</v>
      </c>
      <c r="AO43" s="211" t="s">
        <v>251</v>
      </c>
      <c r="AP43" s="62" t="s">
        <v>11</v>
      </c>
      <c r="AQ43" s="143" t="s">
        <v>78</v>
      </c>
      <c r="AR43" s="143" t="s">
        <v>78</v>
      </c>
      <c r="AS43" s="62" t="s">
        <v>11</v>
      </c>
    </row>
    <row r="44" spans="1:45" ht="15" customHeight="1" outlineLevel="1">
      <c r="A44" s="292">
        <v>8</v>
      </c>
      <c r="B44" s="292">
        <v>2</v>
      </c>
      <c r="C44" s="292"/>
      <c r="D44" s="292"/>
      <c r="E44" s="337" t="s">
        <v>176</v>
      </c>
      <c r="F44" s="292">
        <v>435</v>
      </c>
      <c r="G44" s="335">
        <v>20263515</v>
      </c>
      <c r="H44" s="335" t="s">
        <v>227</v>
      </c>
      <c r="I44" s="335" t="s">
        <v>228</v>
      </c>
      <c r="J44" s="11"/>
      <c r="K44" s="61"/>
      <c r="L44" s="60"/>
      <c r="M44" s="62"/>
      <c r="N44" s="11"/>
      <c r="O44" s="11"/>
      <c r="P44" s="11"/>
      <c r="Q44" s="11"/>
      <c r="R44" s="11"/>
      <c r="S44" s="62"/>
      <c r="T44" s="62"/>
      <c r="U44" s="62"/>
      <c r="V44" s="11"/>
      <c r="W44" s="62"/>
      <c r="X44" s="11"/>
      <c r="Y44" s="11"/>
      <c r="Z44" s="361"/>
      <c r="AA44" s="362"/>
      <c r="AB44" s="362"/>
      <c r="AC44" s="363"/>
      <c r="AD44" s="62" t="s">
        <v>11</v>
      </c>
      <c r="AE44" s="11"/>
      <c r="AF44" s="346" t="s">
        <v>221</v>
      </c>
      <c r="AG44" s="62" t="s">
        <v>11</v>
      </c>
      <c r="AH44" s="62" t="s">
        <v>11</v>
      </c>
      <c r="AI44" s="115" t="s">
        <v>245</v>
      </c>
      <c r="AJ44" s="141" t="s">
        <v>47</v>
      </c>
      <c r="AK44" s="15" t="s">
        <v>16</v>
      </c>
      <c r="AL44" s="62" t="s">
        <v>11</v>
      </c>
      <c r="AM44" s="62" t="s">
        <v>11</v>
      </c>
      <c r="AN44" s="207" t="s">
        <v>78</v>
      </c>
      <c r="AO44" s="207" t="s">
        <v>78</v>
      </c>
      <c r="AP44" s="62" t="s">
        <v>11</v>
      </c>
      <c r="AQ44" s="143" t="s">
        <v>78</v>
      </c>
      <c r="AR44" s="143" t="s">
        <v>78</v>
      </c>
      <c r="AS44" s="62" t="s">
        <v>11</v>
      </c>
    </row>
    <row r="45" spans="1:45" ht="15" customHeight="1" outlineLevel="1">
      <c r="A45" s="293"/>
      <c r="B45" s="293"/>
      <c r="C45" s="293"/>
      <c r="D45" s="293"/>
      <c r="E45" s="338"/>
      <c r="F45" s="293"/>
      <c r="G45" s="336"/>
      <c r="H45" s="336"/>
      <c r="I45" s="336"/>
      <c r="J45" s="11"/>
      <c r="K45" s="10"/>
      <c r="L45" s="60"/>
      <c r="M45" s="62"/>
      <c r="N45" s="11"/>
      <c r="O45" s="11"/>
      <c r="P45" s="11"/>
      <c r="Q45" s="11"/>
      <c r="R45" s="11"/>
      <c r="S45" s="62"/>
      <c r="T45" s="62"/>
      <c r="U45" s="62"/>
      <c r="V45" s="11"/>
      <c r="W45" s="62"/>
      <c r="X45" s="11"/>
      <c r="Y45" s="11"/>
      <c r="Z45" s="361"/>
      <c r="AA45" s="362"/>
      <c r="AB45" s="362"/>
      <c r="AC45" s="363"/>
      <c r="AD45" s="62" t="s">
        <v>11</v>
      </c>
      <c r="AE45" s="11"/>
      <c r="AF45" s="347"/>
      <c r="AG45" s="62" t="s">
        <v>11</v>
      </c>
      <c r="AH45" s="62" t="s">
        <v>11</v>
      </c>
      <c r="AI45" s="39" t="s">
        <v>37</v>
      </c>
      <c r="AJ45" s="25" t="s">
        <v>15</v>
      </c>
      <c r="AK45" s="20" t="s">
        <v>13</v>
      </c>
      <c r="AL45" s="62" t="s">
        <v>11</v>
      </c>
      <c r="AM45" s="62" t="s">
        <v>11</v>
      </c>
      <c r="AN45" s="194" t="s">
        <v>57</v>
      </c>
      <c r="AO45" s="194" t="s">
        <v>57</v>
      </c>
      <c r="AP45" s="62" t="s">
        <v>11</v>
      </c>
      <c r="AQ45" s="143" t="s">
        <v>78</v>
      </c>
      <c r="AR45" s="143" t="s">
        <v>78</v>
      </c>
      <c r="AS45" s="62" t="s">
        <v>11</v>
      </c>
    </row>
    <row r="46" spans="1:45" ht="15" customHeight="1" outlineLevel="1">
      <c r="A46" s="292">
        <v>9</v>
      </c>
      <c r="B46" s="292">
        <v>4</v>
      </c>
      <c r="C46" s="292"/>
      <c r="D46" s="292"/>
      <c r="E46" s="337" t="s">
        <v>176</v>
      </c>
      <c r="F46" s="292">
        <v>389</v>
      </c>
      <c r="G46" s="335">
        <v>20263518</v>
      </c>
      <c r="H46" s="335" t="s">
        <v>229</v>
      </c>
      <c r="I46" s="335" t="s">
        <v>232</v>
      </c>
      <c r="J46" s="11"/>
      <c r="K46" s="61"/>
      <c r="L46" s="60"/>
      <c r="M46" s="62"/>
      <c r="N46" s="11"/>
      <c r="O46" s="11"/>
      <c r="P46" s="11"/>
      <c r="Q46" s="11"/>
      <c r="R46" s="11"/>
      <c r="S46" s="62"/>
      <c r="T46" s="62"/>
      <c r="U46" s="62"/>
      <c r="V46" s="11"/>
      <c r="W46" s="62"/>
      <c r="X46" s="11"/>
      <c r="Y46" s="11"/>
      <c r="Z46" s="361"/>
      <c r="AA46" s="362"/>
      <c r="AB46" s="362"/>
      <c r="AC46" s="363"/>
      <c r="AD46" s="62" t="s">
        <v>11</v>
      </c>
      <c r="AE46" s="11"/>
      <c r="AF46" s="347"/>
      <c r="AG46" s="62" t="s">
        <v>11</v>
      </c>
      <c r="AH46" s="62" t="s">
        <v>11</v>
      </c>
      <c r="AI46" s="115" t="s">
        <v>245</v>
      </c>
      <c r="AJ46" s="141" t="s">
        <v>47</v>
      </c>
      <c r="AK46" s="15" t="s">
        <v>16</v>
      </c>
      <c r="AL46" s="62" t="s">
        <v>11</v>
      </c>
      <c r="AM46" s="62" t="s">
        <v>11</v>
      </c>
      <c r="AN46" s="143" t="s">
        <v>78</v>
      </c>
      <c r="AO46" s="154" t="s">
        <v>78</v>
      </c>
      <c r="AP46" s="62" t="s">
        <v>11</v>
      </c>
      <c r="AQ46" s="143" t="s">
        <v>78</v>
      </c>
      <c r="AR46" s="143" t="s">
        <v>78</v>
      </c>
      <c r="AS46" s="62" t="s">
        <v>11</v>
      </c>
    </row>
    <row r="47" spans="1:45" ht="15" customHeight="1" outlineLevel="1">
      <c r="A47" s="293"/>
      <c r="B47" s="293"/>
      <c r="C47" s="293"/>
      <c r="D47" s="293"/>
      <c r="E47" s="338"/>
      <c r="F47" s="293"/>
      <c r="G47" s="336"/>
      <c r="H47" s="336"/>
      <c r="I47" s="336"/>
      <c r="J47" s="11"/>
      <c r="K47" s="10"/>
      <c r="L47" s="60"/>
      <c r="M47" s="62"/>
      <c r="N47" s="11"/>
      <c r="O47" s="11"/>
      <c r="P47" s="11"/>
      <c r="Q47" s="11"/>
      <c r="R47" s="11"/>
      <c r="S47" s="62"/>
      <c r="T47" s="62"/>
      <c r="U47" s="62"/>
      <c r="V47" s="11"/>
      <c r="W47" s="62"/>
      <c r="X47" s="11"/>
      <c r="Y47" s="11"/>
      <c r="Z47" s="361"/>
      <c r="AA47" s="362"/>
      <c r="AB47" s="362"/>
      <c r="AC47" s="363"/>
      <c r="AD47" s="62" t="s">
        <v>11</v>
      </c>
      <c r="AE47" s="11"/>
      <c r="AF47" s="347"/>
      <c r="AG47" s="62" t="s">
        <v>11</v>
      </c>
      <c r="AH47" s="62" t="s">
        <v>11</v>
      </c>
      <c r="AI47" s="39" t="s">
        <v>37</v>
      </c>
      <c r="AJ47" s="25" t="s">
        <v>15</v>
      </c>
      <c r="AK47" s="20" t="s">
        <v>13</v>
      </c>
      <c r="AL47" s="62" t="s">
        <v>11</v>
      </c>
      <c r="AM47" s="62" t="s">
        <v>11</v>
      </c>
      <c r="AN47" s="213" t="s">
        <v>251</v>
      </c>
      <c r="AO47" s="213" t="s">
        <v>251</v>
      </c>
      <c r="AP47" s="62" t="s">
        <v>11</v>
      </c>
      <c r="AQ47" s="143" t="s">
        <v>78</v>
      </c>
      <c r="AR47" s="143" t="s">
        <v>78</v>
      </c>
      <c r="AS47" s="62" t="s">
        <v>11</v>
      </c>
    </row>
    <row r="48" spans="1:45" ht="15" customHeight="1" outlineLevel="1">
      <c r="A48" s="292">
        <v>10</v>
      </c>
      <c r="B48" s="292">
        <v>2</v>
      </c>
      <c r="C48" s="292"/>
      <c r="D48" s="292"/>
      <c r="E48" s="337" t="s">
        <v>176</v>
      </c>
      <c r="F48" s="292">
        <v>345</v>
      </c>
      <c r="G48" s="335">
        <v>20263526</v>
      </c>
      <c r="H48" s="335" t="s">
        <v>230</v>
      </c>
      <c r="I48" s="335" t="s">
        <v>231</v>
      </c>
      <c r="J48" s="11"/>
      <c r="K48" s="61"/>
      <c r="L48" s="60"/>
      <c r="M48" s="62"/>
      <c r="N48" s="11"/>
      <c r="O48" s="11"/>
      <c r="P48" s="11"/>
      <c r="Q48" s="11"/>
      <c r="R48" s="11"/>
      <c r="S48" s="62"/>
      <c r="T48" s="62"/>
      <c r="U48" s="62"/>
      <c r="V48" s="11"/>
      <c r="W48" s="62"/>
      <c r="X48" s="11"/>
      <c r="Y48" s="11"/>
      <c r="Z48" s="361"/>
      <c r="AA48" s="362"/>
      <c r="AB48" s="362"/>
      <c r="AC48" s="363"/>
      <c r="AD48" s="62" t="s">
        <v>11</v>
      </c>
      <c r="AE48" s="11"/>
      <c r="AF48" s="347"/>
      <c r="AG48" s="62" t="s">
        <v>11</v>
      </c>
      <c r="AH48" s="62" t="s">
        <v>11</v>
      </c>
      <c r="AI48" s="115" t="s">
        <v>245</v>
      </c>
      <c r="AJ48" s="141" t="s">
        <v>47</v>
      </c>
      <c r="AK48" s="15" t="s">
        <v>16</v>
      </c>
      <c r="AL48" s="62" t="s">
        <v>11</v>
      </c>
      <c r="AM48" s="62" t="s">
        <v>11</v>
      </c>
      <c r="AN48" s="208" t="s">
        <v>78</v>
      </c>
      <c r="AO48" s="208" t="s">
        <v>78</v>
      </c>
      <c r="AP48" s="62" t="s">
        <v>11</v>
      </c>
      <c r="AQ48" s="143" t="s">
        <v>78</v>
      </c>
      <c r="AR48" s="143" t="s">
        <v>78</v>
      </c>
      <c r="AS48" s="62" t="s">
        <v>11</v>
      </c>
    </row>
    <row r="49" spans="1:45" ht="15" customHeight="1" outlineLevel="1">
      <c r="A49" s="293"/>
      <c r="B49" s="293"/>
      <c r="C49" s="293"/>
      <c r="D49" s="293"/>
      <c r="E49" s="338"/>
      <c r="F49" s="293"/>
      <c r="G49" s="336"/>
      <c r="H49" s="336"/>
      <c r="I49" s="336"/>
      <c r="J49" s="11"/>
      <c r="K49" s="10"/>
      <c r="L49" s="60"/>
      <c r="M49" s="62"/>
      <c r="N49" s="11"/>
      <c r="O49" s="11"/>
      <c r="P49" s="11"/>
      <c r="Q49" s="11"/>
      <c r="R49" s="11"/>
      <c r="S49" s="62"/>
      <c r="T49" s="62"/>
      <c r="U49" s="62"/>
      <c r="V49" s="11"/>
      <c r="W49" s="62"/>
      <c r="X49" s="11"/>
      <c r="Y49" s="11"/>
      <c r="Z49" s="361"/>
      <c r="AA49" s="362"/>
      <c r="AB49" s="362"/>
      <c r="AC49" s="363"/>
      <c r="AD49" s="62" t="s">
        <v>11</v>
      </c>
      <c r="AE49" s="11"/>
      <c r="AF49" s="347"/>
      <c r="AG49" s="62" t="s">
        <v>11</v>
      </c>
      <c r="AH49" s="62" t="s">
        <v>11</v>
      </c>
      <c r="AI49" s="39" t="s">
        <v>37</v>
      </c>
      <c r="AJ49" s="25" t="s">
        <v>15</v>
      </c>
      <c r="AK49" s="20" t="s">
        <v>13</v>
      </c>
      <c r="AL49" s="62" t="s">
        <v>11</v>
      </c>
      <c r="AM49" s="62" t="s">
        <v>11</v>
      </c>
      <c r="AN49" s="194" t="s">
        <v>57</v>
      </c>
      <c r="AO49" s="194" t="s">
        <v>57</v>
      </c>
      <c r="AP49" s="62" t="s">
        <v>11</v>
      </c>
      <c r="AQ49" s="143" t="s">
        <v>78</v>
      </c>
      <c r="AR49" s="143" t="s">
        <v>78</v>
      </c>
      <c r="AS49" s="62" t="s">
        <v>11</v>
      </c>
    </row>
    <row r="50" spans="1:45" ht="15" customHeight="1">
      <c r="A50" s="292">
        <v>11</v>
      </c>
      <c r="B50" s="292">
        <v>4</v>
      </c>
      <c r="C50" s="292"/>
      <c r="D50" s="292"/>
      <c r="E50" s="337" t="s">
        <v>176</v>
      </c>
      <c r="F50" s="292"/>
      <c r="G50" s="335">
        <v>20263558</v>
      </c>
      <c r="H50" s="335" t="s">
        <v>233</v>
      </c>
      <c r="I50" s="335" t="s">
        <v>234</v>
      </c>
      <c r="J50" s="11"/>
      <c r="K50" s="61"/>
      <c r="L50" s="60"/>
      <c r="M50" s="62"/>
      <c r="N50" s="11"/>
      <c r="O50" s="11"/>
      <c r="P50" s="11"/>
      <c r="Q50" s="11"/>
      <c r="R50" s="11"/>
      <c r="S50" s="62"/>
      <c r="T50" s="62"/>
      <c r="U50" s="62"/>
      <c r="V50" s="11"/>
      <c r="W50" s="62"/>
      <c r="X50" s="11"/>
      <c r="Y50" s="11"/>
      <c r="Z50" s="361"/>
      <c r="AA50" s="362"/>
      <c r="AB50" s="362"/>
      <c r="AC50" s="363"/>
      <c r="AD50" s="62" t="s">
        <v>11</v>
      </c>
      <c r="AE50" s="11"/>
      <c r="AF50" s="348"/>
      <c r="AG50" s="62" t="s">
        <v>11</v>
      </c>
      <c r="AH50" s="62" t="s">
        <v>11</v>
      </c>
      <c r="AI50" s="11"/>
      <c r="AJ50" s="11"/>
      <c r="AK50" s="115" t="s">
        <v>247</v>
      </c>
      <c r="AL50" s="62" t="s">
        <v>11</v>
      </c>
      <c r="AM50" s="100" t="s">
        <v>40</v>
      </c>
      <c r="AN50" s="143" t="s">
        <v>78</v>
      </c>
      <c r="AO50" s="61" t="s">
        <v>11</v>
      </c>
      <c r="AP50" s="62" t="s">
        <v>11</v>
      </c>
      <c r="AQ50" s="143" t="s">
        <v>78</v>
      </c>
      <c r="AR50" s="143" t="s">
        <v>78</v>
      </c>
      <c r="AS50" s="62" t="s">
        <v>11</v>
      </c>
    </row>
    <row r="51" spans="1:45" ht="15" customHeight="1">
      <c r="A51" s="293"/>
      <c r="B51" s="293"/>
      <c r="C51" s="293"/>
      <c r="D51" s="293"/>
      <c r="E51" s="338"/>
      <c r="F51" s="293"/>
      <c r="G51" s="336"/>
      <c r="H51" s="336"/>
      <c r="I51" s="336"/>
      <c r="J51" s="11"/>
      <c r="K51" s="10"/>
      <c r="L51" s="60"/>
      <c r="M51" s="62"/>
      <c r="N51" s="11"/>
      <c r="O51" s="11"/>
      <c r="P51" s="11"/>
      <c r="Q51" s="11"/>
      <c r="R51" s="11"/>
      <c r="S51" s="62"/>
      <c r="T51" s="62"/>
      <c r="U51" s="62"/>
      <c r="V51" s="11"/>
      <c r="W51" s="62"/>
      <c r="X51" s="11"/>
      <c r="Y51" s="11"/>
      <c r="Z51" s="361"/>
      <c r="AA51" s="362"/>
      <c r="AB51" s="362"/>
      <c r="AC51" s="363"/>
      <c r="AD51" s="62" t="s">
        <v>11</v>
      </c>
      <c r="AE51" s="11"/>
      <c r="AF51" s="349"/>
      <c r="AG51" s="62" t="s">
        <v>11</v>
      </c>
      <c r="AH51" s="62" t="s">
        <v>11</v>
      </c>
      <c r="AI51" s="11"/>
      <c r="AJ51" s="11"/>
      <c r="AK51" s="39" t="s">
        <v>37</v>
      </c>
      <c r="AL51" s="62" t="s">
        <v>11</v>
      </c>
      <c r="AM51" s="206" t="s">
        <v>252</v>
      </c>
      <c r="AN51" s="211" t="s">
        <v>251</v>
      </c>
      <c r="AO51" s="61" t="s">
        <v>11</v>
      </c>
      <c r="AP51" s="62" t="s">
        <v>11</v>
      </c>
      <c r="AQ51" s="143" t="s">
        <v>78</v>
      </c>
      <c r="AR51" s="143" t="s">
        <v>78</v>
      </c>
      <c r="AS51" s="62" t="s">
        <v>11</v>
      </c>
    </row>
    <row r="52" spans="1:45" ht="15" customHeight="1">
      <c r="A52" s="292">
        <v>12</v>
      </c>
      <c r="B52" s="292">
        <v>1</v>
      </c>
      <c r="C52" s="292"/>
      <c r="D52" s="292"/>
      <c r="E52" s="337" t="s">
        <v>176</v>
      </c>
      <c r="F52" s="292"/>
      <c r="G52" s="335">
        <v>20263513</v>
      </c>
      <c r="H52" s="335" t="s">
        <v>235</v>
      </c>
      <c r="I52" s="335" t="s">
        <v>236</v>
      </c>
      <c r="J52" s="11"/>
      <c r="K52" s="61"/>
      <c r="L52" s="60"/>
      <c r="M52" s="18"/>
      <c r="N52" s="11"/>
      <c r="O52" s="11"/>
      <c r="P52" s="11"/>
      <c r="Q52" s="11"/>
      <c r="R52" s="11"/>
      <c r="S52" s="11"/>
      <c r="T52" s="11"/>
      <c r="U52" s="11"/>
      <c r="V52" s="11"/>
      <c r="W52" s="62"/>
      <c r="X52" s="11"/>
      <c r="Y52" s="11"/>
      <c r="Z52" s="361"/>
      <c r="AA52" s="362"/>
      <c r="AB52" s="362"/>
      <c r="AC52" s="363"/>
      <c r="AD52" s="62" t="s">
        <v>11</v>
      </c>
      <c r="AE52" s="11"/>
      <c r="AF52" s="11"/>
      <c r="AG52" s="62" t="s">
        <v>11</v>
      </c>
      <c r="AH52" s="62" t="s">
        <v>11</v>
      </c>
      <c r="AI52" s="11"/>
      <c r="AJ52" s="115" t="s">
        <v>245</v>
      </c>
      <c r="AK52" s="15" t="s">
        <v>16</v>
      </c>
      <c r="AL52" s="62" t="s">
        <v>11</v>
      </c>
      <c r="AM52" s="100" t="s">
        <v>40</v>
      </c>
      <c r="AN52" s="62" t="s">
        <v>11</v>
      </c>
      <c r="AO52" s="62" t="s">
        <v>11</v>
      </c>
      <c r="AP52" s="143" t="s">
        <v>78</v>
      </c>
      <c r="AQ52" s="143" t="s">
        <v>78</v>
      </c>
      <c r="AR52" s="143" t="s">
        <v>78</v>
      </c>
      <c r="AS52" s="141" t="s">
        <v>47</v>
      </c>
    </row>
    <row r="53" spans="1:45" ht="15" customHeight="1">
      <c r="A53" s="293"/>
      <c r="B53" s="293"/>
      <c r="C53" s="293"/>
      <c r="D53" s="293"/>
      <c r="E53" s="338"/>
      <c r="F53" s="293"/>
      <c r="G53" s="336"/>
      <c r="H53" s="336"/>
      <c r="I53" s="336"/>
      <c r="J53" s="11"/>
      <c r="K53" s="10"/>
      <c r="L53" s="60"/>
      <c r="M53" s="11"/>
      <c r="N53" s="11"/>
      <c r="O53" s="11"/>
      <c r="Q53" s="11"/>
      <c r="R53" s="11"/>
      <c r="S53" s="11"/>
      <c r="T53" s="11"/>
      <c r="U53" s="11"/>
      <c r="V53" s="11"/>
      <c r="W53" s="62"/>
      <c r="X53" s="11"/>
      <c r="Y53" s="11"/>
      <c r="Z53" s="361"/>
      <c r="AA53" s="362"/>
      <c r="AB53" s="362"/>
      <c r="AC53" s="363"/>
      <c r="AD53" s="62" t="s">
        <v>11</v>
      </c>
      <c r="AE53" s="11"/>
      <c r="AF53" s="11"/>
      <c r="AG53" s="62" t="s">
        <v>11</v>
      </c>
      <c r="AH53" s="62" t="s">
        <v>11</v>
      </c>
      <c r="AI53" s="11"/>
      <c r="AJ53" s="39" t="s">
        <v>37</v>
      </c>
      <c r="AK53" s="20" t="s">
        <v>13</v>
      </c>
      <c r="AL53" s="62" t="s">
        <v>11</v>
      </c>
      <c r="AM53" s="206" t="s">
        <v>252</v>
      </c>
      <c r="AN53" s="62" t="s">
        <v>11</v>
      </c>
      <c r="AO53" s="62" t="s">
        <v>11</v>
      </c>
      <c r="AP53" s="210" t="s">
        <v>253</v>
      </c>
      <c r="AQ53" s="143" t="s">
        <v>78</v>
      </c>
      <c r="AR53" s="143" t="s">
        <v>78</v>
      </c>
      <c r="AS53" s="25" t="s">
        <v>15</v>
      </c>
    </row>
    <row r="54" spans="1:45" ht="15" customHeight="1">
      <c r="A54" s="292">
        <v>13</v>
      </c>
      <c r="B54" s="292">
        <v>3</v>
      </c>
      <c r="C54" s="292"/>
      <c r="D54" s="292"/>
      <c r="E54" s="337" t="s">
        <v>176</v>
      </c>
      <c r="F54" s="292"/>
      <c r="G54" s="335">
        <v>20263527</v>
      </c>
      <c r="H54" s="335" t="s">
        <v>237</v>
      </c>
      <c r="I54" s="335" t="s">
        <v>238</v>
      </c>
      <c r="J54" s="11"/>
      <c r="K54" s="61"/>
      <c r="L54" s="60"/>
      <c r="M54" s="18"/>
      <c r="N54" s="11"/>
      <c r="O54" s="11"/>
      <c r="P54" s="11"/>
      <c r="Q54" s="11"/>
      <c r="R54" s="11"/>
      <c r="S54" s="11"/>
      <c r="T54" s="11"/>
      <c r="U54" s="11"/>
      <c r="V54" s="11"/>
      <c r="W54" s="62"/>
      <c r="X54" s="11"/>
      <c r="Y54" s="11"/>
      <c r="Z54" s="361"/>
      <c r="AA54" s="362"/>
      <c r="AB54" s="362"/>
      <c r="AC54" s="363"/>
      <c r="AD54" s="62" t="s">
        <v>11</v>
      </c>
      <c r="AE54" s="11"/>
      <c r="AF54" s="11"/>
      <c r="AG54" s="62" t="s">
        <v>11</v>
      </c>
      <c r="AH54" s="62" t="s">
        <v>11</v>
      </c>
      <c r="AI54" s="11"/>
      <c r="AJ54" s="115" t="s">
        <v>245</v>
      </c>
      <c r="AK54" s="15" t="s">
        <v>16</v>
      </c>
      <c r="AL54" s="62" t="s">
        <v>11</v>
      </c>
      <c r="AM54" s="100" t="s">
        <v>40</v>
      </c>
      <c r="AN54" s="207" t="s">
        <v>78</v>
      </c>
      <c r="AO54" s="61" t="s">
        <v>11</v>
      </c>
      <c r="AP54" s="60" t="s">
        <v>11</v>
      </c>
      <c r="AQ54" s="143" t="s">
        <v>78</v>
      </c>
      <c r="AR54" s="143" t="s">
        <v>78</v>
      </c>
      <c r="AS54" s="141" t="s">
        <v>47</v>
      </c>
    </row>
    <row r="55" spans="1:45" ht="15" customHeight="1">
      <c r="A55" s="293"/>
      <c r="B55" s="293"/>
      <c r="C55" s="293"/>
      <c r="D55" s="293"/>
      <c r="E55" s="338"/>
      <c r="F55" s="293"/>
      <c r="G55" s="336"/>
      <c r="H55" s="336"/>
      <c r="I55" s="336"/>
      <c r="J55" s="11"/>
      <c r="K55" s="10"/>
      <c r="L55" s="6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62"/>
      <c r="X55" s="11"/>
      <c r="Y55" s="11"/>
      <c r="Z55" s="361"/>
      <c r="AA55" s="362"/>
      <c r="AB55" s="362"/>
      <c r="AC55" s="363"/>
      <c r="AD55" s="62" t="s">
        <v>11</v>
      </c>
      <c r="AE55" s="11"/>
      <c r="AF55" s="11"/>
      <c r="AG55" s="62" t="s">
        <v>11</v>
      </c>
      <c r="AH55" s="62" t="s">
        <v>11</v>
      </c>
      <c r="AI55" s="11"/>
      <c r="AJ55" s="39" t="s">
        <v>37</v>
      </c>
      <c r="AK55" s="20" t="s">
        <v>13</v>
      </c>
      <c r="AL55" s="62" t="s">
        <v>11</v>
      </c>
      <c r="AM55" s="206" t="s">
        <v>252</v>
      </c>
      <c r="AN55" s="194" t="s">
        <v>57</v>
      </c>
      <c r="AO55" s="61" t="s">
        <v>11</v>
      </c>
      <c r="AP55" s="60" t="s">
        <v>11</v>
      </c>
      <c r="AQ55" s="143" t="s">
        <v>78</v>
      </c>
      <c r="AR55" s="143" t="s">
        <v>78</v>
      </c>
      <c r="AS55" s="25" t="s">
        <v>15</v>
      </c>
    </row>
    <row r="56" spans="1:45" ht="15" customHeight="1">
      <c r="A56" s="292">
        <v>14</v>
      </c>
      <c r="B56" s="292">
        <v>2</v>
      </c>
      <c r="C56" s="292"/>
      <c r="D56" s="292"/>
      <c r="E56" s="337" t="s">
        <v>176</v>
      </c>
      <c r="F56" s="292"/>
      <c r="G56" s="335">
        <v>20263569</v>
      </c>
      <c r="H56" s="335" t="s">
        <v>239</v>
      </c>
      <c r="I56" s="335" t="s">
        <v>240</v>
      </c>
      <c r="J56" s="11"/>
      <c r="K56" s="61"/>
      <c r="L56" s="60"/>
      <c r="M56" s="18"/>
      <c r="N56" s="11"/>
      <c r="O56" s="11"/>
      <c r="P56" s="11"/>
      <c r="Q56" s="11"/>
      <c r="R56" s="11"/>
      <c r="S56" s="11"/>
      <c r="T56" s="11"/>
      <c r="U56" s="11"/>
      <c r="V56" s="11"/>
      <c r="W56" s="62"/>
      <c r="X56" s="11"/>
      <c r="Y56" s="11"/>
      <c r="Z56" s="361"/>
      <c r="AA56" s="362"/>
      <c r="AB56" s="362"/>
      <c r="AC56" s="363"/>
      <c r="AD56" s="62" t="s">
        <v>11</v>
      </c>
      <c r="AE56" s="11"/>
      <c r="AF56" s="11"/>
      <c r="AG56" s="62" t="s">
        <v>11</v>
      </c>
      <c r="AH56" s="62" t="s">
        <v>11</v>
      </c>
      <c r="AI56" s="11"/>
      <c r="AJ56" s="115" t="s">
        <v>245</v>
      </c>
      <c r="AK56" s="15" t="s">
        <v>16</v>
      </c>
      <c r="AL56" s="62" t="s">
        <v>11</v>
      </c>
      <c r="AM56" s="100" t="s">
        <v>40</v>
      </c>
      <c r="AN56" s="143" t="s">
        <v>78</v>
      </c>
      <c r="AO56" s="209" t="s">
        <v>11</v>
      </c>
      <c r="AP56" s="60" t="s">
        <v>11</v>
      </c>
      <c r="AQ56" s="143" t="s">
        <v>78</v>
      </c>
      <c r="AR56" s="143" t="s">
        <v>78</v>
      </c>
      <c r="AS56" s="141" t="s">
        <v>47</v>
      </c>
    </row>
    <row r="57" spans="1:45" ht="15" customHeight="1">
      <c r="A57" s="293"/>
      <c r="B57" s="293"/>
      <c r="C57" s="293"/>
      <c r="D57" s="293"/>
      <c r="E57" s="338"/>
      <c r="F57" s="293"/>
      <c r="G57" s="336"/>
      <c r="H57" s="336"/>
      <c r="I57" s="336"/>
      <c r="J57" s="11"/>
      <c r="K57" s="10"/>
      <c r="L57" s="6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62"/>
      <c r="X57" s="11"/>
      <c r="Y57" s="11"/>
      <c r="Z57" s="361"/>
      <c r="AA57" s="362"/>
      <c r="AB57" s="362"/>
      <c r="AC57" s="363"/>
      <c r="AD57" s="62" t="s">
        <v>11</v>
      </c>
      <c r="AE57" s="11"/>
      <c r="AF57" s="11"/>
      <c r="AG57" s="62" t="s">
        <v>11</v>
      </c>
      <c r="AH57" s="62" t="s">
        <v>11</v>
      </c>
      <c r="AI57" s="11"/>
      <c r="AJ57" s="39" t="s">
        <v>37</v>
      </c>
      <c r="AK57" s="20" t="s">
        <v>13</v>
      </c>
      <c r="AL57" s="62" t="s">
        <v>11</v>
      </c>
      <c r="AM57" s="206" t="s">
        <v>252</v>
      </c>
      <c r="AN57" s="194" t="s">
        <v>57</v>
      </c>
      <c r="AO57" s="61" t="s">
        <v>11</v>
      </c>
      <c r="AP57" s="60" t="s">
        <v>11</v>
      </c>
      <c r="AQ57" s="143" t="s">
        <v>78</v>
      </c>
      <c r="AR57" s="143" t="s">
        <v>78</v>
      </c>
      <c r="AS57" s="25" t="s">
        <v>15</v>
      </c>
    </row>
    <row r="58" spans="1:45" ht="15" customHeight="1">
      <c r="A58" s="292">
        <v>15</v>
      </c>
      <c r="B58" s="292">
        <v>3</v>
      </c>
      <c r="C58" s="292"/>
      <c r="D58" s="292"/>
      <c r="E58" s="337" t="s">
        <v>176</v>
      </c>
      <c r="F58" s="292"/>
      <c r="G58" s="335">
        <v>20263533</v>
      </c>
      <c r="H58" s="335" t="s">
        <v>241</v>
      </c>
      <c r="I58" s="335" t="s">
        <v>242</v>
      </c>
      <c r="J58" s="11"/>
      <c r="K58" s="10"/>
      <c r="L58" s="6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62"/>
      <c r="X58" s="11"/>
      <c r="Y58" s="11"/>
      <c r="Z58" s="361"/>
      <c r="AA58" s="362"/>
      <c r="AB58" s="362"/>
      <c r="AC58" s="363"/>
      <c r="AD58" s="62" t="s">
        <v>11</v>
      </c>
      <c r="AE58" s="11"/>
      <c r="AF58" s="11"/>
      <c r="AG58" s="62" t="s">
        <v>11</v>
      </c>
      <c r="AH58" s="62" t="s">
        <v>11</v>
      </c>
      <c r="AI58" s="11"/>
      <c r="AJ58" s="39"/>
      <c r="AK58" s="39"/>
      <c r="AL58" s="39"/>
      <c r="AM58" s="39"/>
      <c r="AN58" s="39"/>
      <c r="AO58" s="39"/>
      <c r="AP58" s="62"/>
      <c r="AQ58" s="115" t="s">
        <v>79</v>
      </c>
      <c r="AR58" s="15" t="s">
        <v>16</v>
      </c>
      <c r="AS58" s="141" t="s">
        <v>47</v>
      </c>
    </row>
    <row r="59" spans="1:45" ht="15" customHeight="1">
      <c r="A59" s="293"/>
      <c r="B59" s="293"/>
      <c r="C59" s="293"/>
      <c r="D59" s="293"/>
      <c r="E59" s="338"/>
      <c r="F59" s="293"/>
      <c r="G59" s="336"/>
      <c r="H59" s="336"/>
      <c r="I59" s="336"/>
      <c r="J59" s="11"/>
      <c r="K59" s="10"/>
      <c r="L59" s="6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62"/>
      <c r="X59" s="11"/>
      <c r="Y59" s="11"/>
      <c r="Z59" s="361"/>
      <c r="AA59" s="362"/>
      <c r="AB59" s="362"/>
      <c r="AC59" s="363"/>
      <c r="AD59" s="62" t="s">
        <v>11</v>
      </c>
      <c r="AE59" s="11"/>
      <c r="AF59" s="11"/>
      <c r="AG59" s="62" t="s">
        <v>11</v>
      </c>
      <c r="AH59" s="62" t="s">
        <v>11</v>
      </c>
      <c r="AI59" s="11"/>
      <c r="AJ59" s="39"/>
      <c r="AK59" s="39"/>
      <c r="AL59" s="39"/>
      <c r="AM59" s="39"/>
      <c r="AN59" s="39"/>
      <c r="AO59" s="39"/>
      <c r="AP59" s="62"/>
      <c r="AQ59" s="39" t="s">
        <v>37</v>
      </c>
      <c r="AR59" s="20" t="s">
        <v>13</v>
      </c>
      <c r="AS59" s="25" t="s">
        <v>15</v>
      </c>
    </row>
    <row r="60" spans="1:45" ht="15" customHeight="1">
      <c r="A60" s="292">
        <v>16</v>
      </c>
      <c r="B60" s="292">
        <v>1</v>
      </c>
      <c r="C60" s="292"/>
      <c r="D60" s="292"/>
      <c r="E60" s="337" t="s">
        <v>176</v>
      </c>
      <c r="F60" s="292"/>
      <c r="G60" s="335">
        <v>20263555</v>
      </c>
      <c r="H60" s="335" t="s">
        <v>256</v>
      </c>
      <c r="I60" s="335" t="s">
        <v>243</v>
      </c>
      <c r="J60" s="11"/>
      <c r="K60" s="10"/>
      <c r="L60" s="60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62"/>
      <c r="X60" s="11"/>
      <c r="Y60" s="11"/>
      <c r="Z60" s="361"/>
      <c r="AA60" s="362"/>
      <c r="AB60" s="362"/>
      <c r="AC60" s="363"/>
      <c r="AD60" s="62" t="s">
        <v>11</v>
      </c>
      <c r="AE60" s="11"/>
      <c r="AF60" s="11"/>
      <c r="AG60" s="62" t="s">
        <v>11</v>
      </c>
      <c r="AH60" s="62" t="s">
        <v>11</v>
      </c>
      <c r="AI60" s="11"/>
      <c r="AJ60" s="11"/>
      <c r="AK60" s="115" t="s">
        <v>247</v>
      </c>
      <c r="AL60" s="62" t="s">
        <v>11</v>
      </c>
      <c r="AM60" s="100" t="s">
        <v>40</v>
      </c>
      <c r="AN60" s="62" t="s">
        <v>11</v>
      </c>
      <c r="AO60" s="62" t="s">
        <v>11</v>
      </c>
      <c r="AP60" s="143" t="s">
        <v>78</v>
      </c>
      <c r="AQ60" s="143" t="s">
        <v>78</v>
      </c>
      <c r="AR60" s="15" t="s">
        <v>16</v>
      </c>
      <c r="AS60" s="141" t="s">
        <v>47</v>
      </c>
    </row>
    <row r="61" spans="1:45" ht="15" customHeight="1">
      <c r="A61" s="293"/>
      <c r="B61" s="293"/>
      <c r="C61" s="293"/>
      <c r="D61" s="293"/>
      <c r="E61" s="338"/>
      <c r="F61" s="293"/>
      <c r="G61" s="336"/>
      <c r="H61" s="336"/>
      <c r="I61" s="336"/>
      <c r="J61" s="11"/>
      <c r="K61" s="10"/>
      <c r="L61" s="6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62"/>
      <c r="X61" s="11"/>
      <c r="Y61" s="11"/>
      <c r="Z61" s="361"/>
      <c r="AA61" s="362"/>
      <c r="AB61" s="362"/>
      <c r="AC61" s="363"/>
      <c r="AD61" s="62" t="s">
        <v>11</v>
      </c>
      <c r="AE61" s="11"/>
      <c r="AF61" s="11"/>
      <c r="AG61" s="62" t="s">
        <v>11</v>
      </c>
      <c r="AH61" s="62" t="s">
        <v>11</v>
      </c>
      <c r="AI61" s="11"/>
      <c r="AJ61" s="11"/>
      <c r="AK61" s="39" t="s">
        <v>37</v>
      </c>
      <c r="AL61" s="62" t="s">
        <v>11</v>
      </c>
      <c r="AM61" s="206" t="s">
        <v>252</v>
      </c>
      <c r="AN61" s="62" t="s">
        <v>11</v>
      </c>
      <c r="AO61" s="62" t="s">
        <v>11</v>
      </c>
      <c r="AP61" s="210" t="s">
        <v>253</v>
      </c>
      <c r="AQ61" s="143" t="s">
        <v>78</v>
      </c>
      <c r="AR61" s="20" t="s">
        <v>13</v>
      </c>
      <c r="AS61" s="25" t="s">
        <v>15</v>
      </c>
    </row>
    <row r="62" spans="1:45" ht="15" customHeight="1">
      <c r="A62" s="292">
        <v>17</v>
      </c>
      <c r="B62" s="292">
        <v>4</v>
      </c>
      <c r="C62" s="292"/>
      <c r="D62" s="292"/>
      <c r="E62" s="337" t="s">
        <v>176</v>
      </c>
      <c r="F62" s="292"/>
      <c r="G62" s="335">
        <v>2026</v>
      </c>
      <c r="H62" s="335" t="s">
        <v>246</v>
      </c>
      <c r="I62" s="335"/>
      <c r="J62" s="11"/>
      <c r="K62" s="10"/>
      <c r="L62" s="6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62"/>
      <c r="X62" s="11"/>
      <c r="Y62" s="11"/>
      <c r="Z62" s="361"/>
      <c r="AA62" s="362"/>
      <c r="AB62" s="362"/>
      <c r="AC62" s="363"/>
      <c r="AD62" s="62" t="s">
        <v>11</v>
      </c>
      <c r="AE62" s="11"/>
      <c r="AF62" s="11"/>
      <c r="AG62" s="62" t="s">
        <v>11</v>
      </c>
      <c r="AH62" s="62" t="s">
        <v>11</v>
      </c>
      <c r="AI62" s="11"/>
      <c r="AJ62" s="11"/>
      <c r="AK62" s="11"/>
      <c r="AL62" s="62"/>
      <c r="AM62" s="39"/>
      <c r="AN62" s="39"/>
      <c r="AO62" s="39"/>
      <c r="AP62" s="39"/>
      <c r="AQ62" s="39"/>
      <c r="AR62" s="115" t="s">
        <v>79</v>
      </c>
      <c r="AS62" s="141" t="s">
        <v>47</v>
      </c>
    </row>
    <row r="63" spans="1:45" ht="15" customHeight="1">
      <c r="A63" s="293"/>
      <c r="B63" s="293"/>
      <c r="C63" s="293"/>
      <c r="D63" s="293"/>
      <c r="E63" s="338"/>
      <c r="F63" s="293"/>
      <c r="G63" s="336"/>
      <c r="H63" s="336"/>
      <c r="I63" s="336"/>
      <c r="J63" s="11"/>
      <c r="K63" s="10"/>
      <c r="L63" s="6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62"/>
      <c r="X63" s="11"/>
      <c r="Y63" s="11"/>
      <c r="Z63" s="361"/>
      <c r="AA63" s="362"/>
      <c r="AB63" s="362"/>
      <c r="AC63" s="363"/>
      <c r="AD63" s="62" t="s">
        <v>11</v>
      </c>
      <c r="AE63" s="11"/>
      <c r="AF63" s="11"/>
      <c r="AG63" s="62" t="s">
        <v>11</v>
      </c>
      <c r="AH63" s="62" t="s">
        <v>11</v>
      </c>
      <c r="AI63" s="11"/>
      <c r="AJ63" s="11"/>
      <c r="AK63" s="11"/>
      <c r="AL63" s="62"/>
      <c r="AM63" s="39"/>
      <c r="AN63" s="39"/>
      <c r="AO63" s="39"/>
      <c r="AP63" s="39"/>
      <c r="AQ63" s="39"/>
      <c r="AR63" s="39" t="s">
        <v>37</v>
      </c>
      <c r="AS63" s="25" t="s">
        <v>15</v>
      </c>
    </row>
    <row r="64" spans="1:45" ht="15" customHeight="1">
      <c r="A64" s="292">
        <v>18</v>
      </c>
      <c r="B64" s="292"/>
      <c r="C64" s="292"/>
      <c r="D64" s="292"/>
      <c r="E64" s="337" t="s">
        <v>176</v>
      </c>
      <c r="F64" s="292"/>
      <c r="G64" s="335">
        <v>2026</v>
      </c>
      <c r="H64" s="335"/>
      <c r="I64" s="335"/>
      <c r="J64" s="11"/>
      <c r="K64" s="10"/>
      <c r="L64" s="60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62"/>
      <c r="X64" s="11"/>
      <c r="Y64" s="11"/>
      <c r="Z64" s="361"/>
      <c r="AA64" s="362"/>
      <c r="AB64" s="362"/>
      <c r="AC64" s="363"/>
      <c r="AD64" s="62" t="s">
        <v>11</v>
      </c>
      <c r="AE64" s="11"/>
      <c r="AF64" s="11"/>
      <c r="AG64" s="62" t="s">
        <v>11</v>
      </c>
      <c r="AH64" s="62" t="s">
        <v>11</v>
      </c>
      <c r="AI64" s="11"/>
      <c r="AJ64" s="11"/>
      <c r="AK64" s="11"/>
      <c r="AL64" s="62"/>
      <c r="AM64" s="39"/>
      <c r="AN64" s="62" t="s">
        <v>11</v>
      </c>
      <c r="AO64" s="62" t="s">
        <v>11</v>
      </c>
      <c r="AP64" s="60"/>
      <c r="AQ64" s="11"/>
      <c r="AR64" s="11"/>
      <c r="AS64" s="62"/>
    </row>
    <row r="65" spans="1:49" ht="15" customHeight="1">
      <c r="A65" s="293"/>
      <c r="B65" s="293"/>
      <c r="C65" s="293"/>
      <c r="D65" s="293"/>
      <c r="E65" s="338"/>
      <c r="F65" s="293"/>
      <c r="G65" s="336"/>
      <c r="H65" s="336"/>
      <c r="I65" s="336"/>
      <c r="J65" s="11"/>
      <c r="K65" s="10"/>
      <c r="L65" s="60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62"/>
      <c r="X65" s="11"/>
      <c r="Y65" s="11"/>
      <c r="Z65" s="361"/>
      <c r="AA65" s="362"/>
      <c r="AB65" s="362"/>
      <c r="AC65" s="363"/>
      <c r="AD65" s="62" t="s">
        <v>11</v>
      </c>
      <c r="AE65" s="11"/>
      <c r="AF65" s="11"/>
      <c r="AG65" s="62" t="s">
        <v>11</v>
      </c>
      <c r="AH65" s="62" t="s">
        <v>11</v>
      </c>
      <c r="AI65" s="11"/>
      <c r="AJ65" s="11"/>
      <c r="AK65" s="11"/>
      <c r="AL65" s="62"/>
      <c r="AM65" s="39"/>
      <c r="AN65" s="62" t="s">
        <v>11</v>
      </c>
      <c r="AO65" s="62" t="s">
        <v>11</v>
      </c>
      <c r="AP65" s="60"/>
      <c r="AQ65" s="11"/>
      <c r="AR65" s="11"/>
      <c r="AS65" s="62"/>
    </row>
    <row r="66" spans="1:49" ht="15" customHeight="1">
      <c r="A66" s="292">
        <v>19</v>
      </c>
      <c r="B66" s="292"/>
      <c r="C66" s="292"/>
      <c r="D66" s="292"/>
      <c r="E66" s="367" t="s">
        <v>176</v>
      </c>
      <c r="F66" s="292"/>
      <c r="G66" s="335">
        <v>2026</v>
      </c>
      <c r="H66" s="335"/>
      <c r="I66" s="335"/>
      <c r="J66" s="11"/>
      <c r="K66" s="10"/>
      <c r="L66" s="60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62"/>
      <c r="X66" s="11"/>
      <c r="Y66" s="11"/>
      <c r="Z66" s="361"/>
      <c r="AA66" s="362"/>
      <c r="AB66" s="362"/>
      <c r="AC66" s="363"/>
      <c r="AD66" s="62" t="s">
        <v>11</v>
      </c>
      <c r="AE66" s="11"/>
      <c r="AF66" s="11"/>
      <c r="AG66" s="62" t="s">
        <v>11</v>
      </c>
      <c r="AH66" s="62" t="s">
        <v>11</v>
      </c>
      <c r="AI66" s="11"/>
      <c r="AJ66" s="11"/>
      <c r="AK66" s="11"/>
      <c r="AL66" s="62"/>
      <c r="AM66" s="39"/>
      <c r="AN66" s="62" t="s">
        <v>11</v>
      </c>
      <c r="AO66" s="62" t="s">
        <v>11</v>
      </c>
      <c r="AP66" s="60"/>
      <c r="AQ66" s="11"/>
      <c r="AR66" s="11"/>
      <c r="AS66" s="62"/>
    </row>
    <row r="67" spans="1:49" ht="15" customHeight="1">
      <c r="A67" s="293"/>
      <c r="B67" s="293"/>
      <c r="C67" s="293"/>
      <c r="D67" s="293"/>
      <c r="E67" s="368"/>
      <c r="F67" s="293"/>
      <c r="G67" s="336"/>
      <c r="H67" s="336"/>
      <c r="I67" s="336"/>
      <c r="J67" s="11"/>
      <c r="K67" s="10"/>
      <c r="L67" s="60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62"/>
      <c r="X67" s="11"/>
      <c r="Y67" s="11"/>
      <c r="Z67" s="361"/>
      <c r="AA67" s="362"/>
      <c r="AB67" s="362"/>
      <c r="AC67" s="363"/>
      <c r="AD67" s="62" t="s">
        <v>11</v>
      </c>
      <c r="AE67" s="11"/>
      <c r="AF67" s="11"/>
      <c r="AG67" s="62" t="s">
        <v>11</v>
      </c>
      <c r="AH67" s="62" t="s">
        <v>11</v>
      </c>
      <c r="AI67" s="11"/>
      <c r="AJ67" s="11"/>
      <c r="AK67" s="11"/>
      <c r="AL67" s="62"/>
      <c r="AM67" s="39"/>
      <c r="AN67" s="62" t="s">
        <v>11</v>
      </c>
      <c r="AO67" s="62" t="s">
        <v>11</v>
      </c>
      <c r="AP67" s="60"/>
      <c r="AQ67" s="11"/>
      <c r="AR67" s="11"/>
      <c r="AS67" s="62"/>
    </row>
    <row r="68" spans="1:49" ht="15" customHeight="1">
      <c r="A68" s="292">
        <v>20</v>
      </c>
      <c r="B68" s="292"/>
      <c r="C68" s="292"/>
      <c r="D68" s="292"/>
      <c r="E68" s="367" t="s">
        <v>176</v>
      </c>
      <c r="F68" s="292"/>
      <c r="G68" s="335">
        <v>2026</v>
      </c>
      <c r="H68" s="335"/>
      <c r="I68" s="335"/>
      <c r="J68" s="11"/>
      <c r="K68" s="10"/>
      <c r="L68" s="60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62"/>
      <c r="X68" s="11"/>
      <c r="Y68" s="11"/>
      <c r="Z68" s="361"/>
      <c r="AA68" s="362"/>
      <c r="AB68" s="362"/>
      <c r="AC68" s="363"/>
      <c r="AD68" s="62" t="s">
        <v>11</v>
      </c>
      <c r="AE68" s="11"/>
      <c r="AF68" s="11"/>
      <c r="AG68" s="62" t="s">
        <v>11</v>
      </c>
      <c r="AH68" s="62" t="s">
        <v>11</v>
      </c>
      <c r="AI68" s="11"/>
      <c r="AJ68" s="11"/>
      <c r="AK68" s="11"/>
      <c r="AL68" s="62"/>
      <c r="AM68" s="39"/>
      <c r="AN68" s="62" t="s">
        <v>11</v>
      </c>
      <c r="AO68" s="62" t="s">
        <v>11</v>
      </c>
      <c r="AP68" s="60"/>
      <c r="AQ68" s="11"/>
      <c r="AR68" s="11"/>
      <c r="AS68" s="62"/>
    </row>
    <row r="69" spans="1:49" ht="15" customHeight="1">
      <c r="A69" s="293"/>
      <c r="B69" s="293"/>
      <c r="C69" s="293"/>
      <c r="D69" s="293"/>
      <c r="E69" s="368"/>
      <c r="F69" s="293"/>
      <c r="G69" s="336"/>
      <c r="H69" s="336"/>
      <c r="I69" s="336"/>
      <c r="J69" s="11"/>
      <c r="K69" s="10"/>
      <c r="L69" s="60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62"/>
      <c r="X69" s="11"/>
      <c r="Y69" s="11"/>
      <c r="Z69" s="361"/>
      <c r="AA69" s="362"/>
      <c r="AB69" s="362"/>
      <c r="AC69" s="363"/>
      <c r="AD69" s="62" t="s">
        <v>11</v>
      </c>
      <c r="AE69" s="11"/>
      <c r="AF69" s="11"/>
      <c r="AG69" s="62" t="s">
        <v>11</v>
      </c>
      <c r="AH69" s="62" t="s">
        <v>11</v>
      </c>
      <c r="AI69" s="11"/>
      <c r="AJ69" s="11"/>
      <c r="AK69" s="11"/>
      <c r="AL69" s="62"/>
      <c r="AM69" s="39"/>
      <c r="AN69" s="62" t="s">
        <v>11</v>
      </c>
      <c r="AO69" s="62" t="s">
        <v>11</v>
      </c>
      <c r="AP69" s="60"/>
      <c r="AQ69" s="11"/>
      <c r="AR69" s="11"/>
      <c r="AS69" s="62"/>
    </row>
    <row r="70" spans="1:49" ht="15" customHeight="1">
      <c r="A70" s="292">
        <v>21</v>
      </c>
      <c r="B70" s="292"/>
      <c r="C70" s="292"/>
      <c r="D70" s="292"/>
      <c r="E70" s="337" t="s">
        <v>176</v>
      </c>
      <c r="F70" s="292"/>
      <c r="G70" s="335">
        <v>2026</v>
      </c>
      <c r="H70" s="335"/>
      <c r="I70" s="335"/>
      <c r="J70" s="11"/>
      <c r="K70" s="10"/>
      <c r="L70" s="6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62"/>
      <c r="X70" s="11"/>
      <c r="Y70" s="11"/>
      <c r="Z70" s="361"/>
      <c r="AA70" s="362"/>
      <c r="AB70" s="362"/>
      <c r="AC70" s="363"/>
      <c r="AD70" s="62" t="s">
        <v>11</v>
      </c>
      <c r="AE70" s="11"/>
      <c r="AF70" s="11"/>
      <c r="AG70" s="62" t="s">
        <v>11</v>
      </c>
      <c r="AH70" s="62" t="s">
        <v>11</v>
      </c>
      <c r="AI70" s="11"/>
      <c r="AJ70" s="11"/>
      <c r="AK70" s="11"/>
      <c r="AM70" s="39"/>
      <c r="AN70" s="62" t="s">
        <v>11</v>
      </c>
      <c r="AO70" s="62" t="s">
        <v>11</v>
      </c>
      <c r="AP70" s="60"/>
      <c r="AQ70" s="62"/>
      <c r="AR70" s="62"/>
      <c r="AS70" s="62"/>
      <c r="AT70" s="352" t="s">
        <v>186</v>
      </c>
      <c r="AU70" s="353"/>
    </row>
    <row r="71" spans="1:49" ht="15" customHeight="1">
      <c r="A71" s="293"/>
      <c r="B71" s="293"/>
      <c r="C71" s="293"/>
      <c r="D71" s="293"/>
      <c r="E71" s="338"/>
      <c r="F71" s="293"/>
      <c r="G71" s="336"/>
      <c r="H71" s="336"/>
      <c r="I71" s="336"/>
      <c r="J71" s="11"/>
      <c r="K71" s="10"/>
      <c r="L71" s="6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62"/>
      <c r="X71" s="11"/>
      <c r="Y71" s="11"/>
      <c r="Z71" s="361"/>
      <c r="AA71" s="362"/>
      <c r="AB71" s="362"/>
      <c r="AC71" s="363"/>
      <c r="AD71" s="62" t="s">
        <v>11</v>
      </c>
      <c r="AE71" s="11"/>
      <c r="AF71" s="11"/>
      <c r="AG71" s="62" t="s">
        <v>11</v>
      </c>
      <c r="AH71" s="62" t="s">
        <v>11</v>
      </c>
      <c r="AI71" s="11"/>
      <c r="AJ71" s="194">
        <v>12</v>
      </c>
      <c r="AK71" s="195">
        <v>13</v>
      </c>
      <c r="AL71" s="62"/>
      <c r="AM71" s="39"/>
      <c r="AN71" s="62" t="s">
        <v>11</v>
      </c>
      <c r="AO71" s="62" t="s">
        <v>11</v>
      </c>
      <c r="AP71" s="60"/>
      <c r="AQ71" s="62"/>
      <c r="AR71" s="62"/>
      <c r="AS71" s="62"/>
      <c r="AT71" s="354"/>
      <c r="AU71" s="355"/>
    </row>
    <row r="72" spans="1:49" ht="15" customHeight="1">
      <c r="A72" s="292">
        <v>22</v>
      </c>
      <c r="B72" s="292"/>
      <c r="C72" s="292"/>
      <c r="D72" s="292"/>
      <c r="E72" s="337" t="s">
        <v>176</v>
      </c>
      <c r="F72" s="292"/>
      <c r="G72" s="335">
        <v>2026</v>
      </c>
      <c r="H72" s="335"/>
      <c r="I72" s="335"/>
      <c r="J72" s="11"/>
      <c r="K72" s="10"/>
      <c r="L72" s="6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62"/>
      <c r="X72" s="11"/>
      <c r="Y72" s="11"/>
      <c r="Z72" s="361"/>
      <c r="AA72" s="362"/>
      <c r="AB72" s="362"/>
      <c r="AC72" s="363"/>
      <c r="AD72" s="62" t="s">
        <v>11</v>
      </c>
      <c r="AE72" s="11"/>
      <c r="AF72" s="11"/>
      <c r="AG72" s="62" t="s">
        <v>11</v>
      </c>
      <c r="AH72" s="62" t="s">
        <v>11</v>
      </c>
      <c r="AI72" s="11"/>
      <c r="AJ72" s="194" t="s">
        <v>31</v>
      </c>
      <c r="AK72" s="195" t="s">
        <v>32</v>
      </c>
      <c r="AM72" s="39"/>
      <c r="AN72" s="62" t="s">
        <v>11</v>
      </c>
      <c r="AO72" s="62" t="s">
        <v>11</v>
      </c>
      <c r="AP72" s="60"/>
      <c r="AQ72" s="11"/>
      <c r="AR72" s="11"/>
      <c r="AS72" s="39"/>
      <c r="AT72" s="352" t="s">
        <v>185</v>
      </c>
      <c r="AU72" s="353"/>
      <c r="AW72" s="183"/>
    </row>
    <row r="73" spans="1:49" ht="15.6" customHeight="1" thickBot="1">
      <c r="A73" s="293"/>
      <c r="B73" s="293"/>
      <c r="C73" s="293"/>
      <c r="D73" s="293"/>
      <c r="E73" s="338"/>
      <c r="F73" s="293"/>
      <c r="G73" s="336"/>
      <c r="H73" s="336"/>
      <c r="I73" s="336"/>
      <c r="J73" s="11"/>
      <c r="K73" s="10"/>
      <c r="L73" s="6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62"/>
      <c r="X73" s="11"/>
      <c r="Y73" s="11"/>
      <c r="Z73" s="364"/>
      <c r="AA73" s="365"/>
      <c r="AB73" s="365"/>
      <c r="AC73" s="366"/>
      <c r="AD73" s="65" t="s">
        <v>11</v>
      </c>
      <c r="AE73" s="7"/>
      <c r="AF73" s="7"/>
      <c r="AG73" s="65" t="s">
        <v>11</v>
      </c>
      <c r="AH73" s="65" t="s">
        <v>11</v>
      </c>
      <c r="AI73" s="7"/>
      <c r="AJ73" s="7">
        <v>8</v>
      </c>
      <c r="AK73" s="7">
        <v>11</v>
      </c>
      <c r="AL73" s="65"/>
      <c r="AM73" s="44"/>
      <c r="AN73" s="62" t="s">
        <v>11</v>
      </c>
      <c r="AO73" s="62" t="s">
        <v>11</v>
      </c>
      <c r="AP73" s="77"/>
      <c r="AQ73" s="80"/>
      <c r="AR73" s="80"/>
      <c r="AS73" s="86"/>
      <c r="AT73" s="356"/>
      <c r="AU73" s="357"/>
    </row>
    <row r="74" spans="1:49" ht="15.6" thickTop="1">
      <c r="A74" s="292">
        <v>23</v>
      </c>
      <c r="B74" s="292">
        <v>4</v>
      </c>
      <c r="C74" s="292"/>
      <c r="D74" s="292"/>
      <c r="E74" s="292"/>
      <c r="F74" s="292"/>
      <c r="G74" s="335">
        <v>20262157</v>
      </c>
      <c r="H74" s="335" t="s">
        <v>178</v>
      </c>
      <c r="I74" s="335"/>
      <c r="J74" s="11"/>
      <c r="K74" s="10"/>
      <c r="L74" s="6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92" t="s">
        <v>11</v>
      </c>
      <c r="AO74" s="79" t="s">
        <v>11</v>
      </c>
      <c r="AP74" s="164"/>
      <c r="AQ74" s="78" t="s">
        <v>11</v>
      </c>
      <c r="AR74" s="101" t="s">
        <v>13</v>
      </c>
      <c r="AS74" s="142" t="s">
        <v>78</v>
      </c>
    </row>
    <row r="75" spans="1:49" ht="15.6" thickBot="1">
      <c r="A75" s="293"/>
      <c r="B75" s="293"/>
      <c r="C75" s="293"/>
      <c r="D75" s="293"/>
      <c r="E75" s="293"/>
      <c r="F75" s="293"/>
      <c r="G75" s="336"/>
      <c r="H75" s="336"/>
      <c r="I75" s="336"/>
      <c r="J75" s="11"/>
      <c r="K75" s="10"/>
      <c r="L75" s="6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11</v>
      </c>
      <c r="AO75" s="61" t="s">
        <v>11</v>
      </c>
      <c r="AP75" s="165"/>
      <c r="AQ75" s="62" t="s">
        <v>11</v>
      </c>
      <c r="AR75" s="15" t="s">
        <v>16</v>
      </c>
      <c r="AS75" s="143" t="s">
        <v>78</v>
      </c>
    </row>
    <row r="76" spans="1:49" ht="15.6" thickTop="1">
      <c r="A76" s="292">
        <v>24</v>
      </c>
      <c r="B76" s="292">
        <v>1</v>
      </c>
      <c r="C76" s="292"/>
      <c r="D76" s="292"/>
      <c r="E76" s="292"/>
      <c r="F76" s="292"/>
      <c r="G76" s="335">
        <v>20262164</v>
      </c>
      <c r="H76" s="335" t="s">
        <v>179</v>
      </c>
      <c r="I76" s="335"/>
      <c r="J76" s="11"/>
      <c r="K76" s="10"/>
      <c r="L76" s="6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11</v>
      </c>
      <c r="AO76" s="61" t="s">
        <v>11</v>
      </c>
      <c r="AP76" s="62"/>
      <c r="AQ76" s="115" t="s">
        <v>79</v>
      </c>
      <c r="AR76" s="101" t="s">
        <v>13</v>
      </c>
      <c r="AS76" s="143" t="s">
        <v>78</v>
      </c>
    </row>
    <row r="77" spans="1:49" ht="15.6" thickBot="1">
      <c r="A77" s="293"/>
      <c r="B77" s="293"/>
      <c r="C77" s="293"/>
      <c r="D77" s="293"/>
      <c r="E77" s="293"/>
      <c r="F77" s="293"/>
      <c r="G77" s="336"/>
      <c r="H77" s="336"/>
      <c r="I77" s="336"/>
      <c r="J77" s="11"/>
      <c r="K77" s="10"/>
      <c r="L77" s="6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11</v>
      </c>
      <c r="AO77" s="61" t="s">
        <v>11</v>
      </c>
      <c r="AP77" s="62"/>
      <c r="AQ77" s="39" t="s">
        <v>37</v>
      </c>
      <c r="AR77" s="15" t="s">
        <v>16</v>
      </c>
      <c r="AS77" s="143" t="s">
        <v>78</v>
      </c>
    </row>
    <row r="78" spans="1:49" ht="15.6" thickTop="1">
      <c r="A78" s="292">
        <v>25</v>
      </c>
      <c r="B78" s="292">
        <v>4</v>
      </c>
      <c r="C78" s="292"/>
      <c r="D78" s="292"/>
      <c r="E78" s="292"/>
      <c r="F78" s="292"/>
      <c r="G78" s="335">
        <v>20262160</v>
      </c>
      <c r="H78" s="335" t="s">
        <v>181</v>
      </c>
      <c r="I78" s="335"/>
      <c r="J78" s="11"/>
      <c r="K78" s="10"/>
      <c r="L78" s="6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11</v>
      </c>
      <c r="AO78" s="61" t="s">
        <v>11</v>
      </c>
      <c r="AP78" s="62"/>
      <c r="AQ78" s="115" t="s">
        <v>79</v>
      </c>
      <c r="AR78" s="101" t="s">
        <v>13</v>
      </c>
      <c r="AS78" s="143" t="s">
        <v>78</v>
      </c>
    </row>
    <row r="79" spans="1:49">
      <c r="A79" s="293"/>
      <c r="B79" s="293"/>
      <c r="C79" s="293"/>
      <c r="D79" s="293"/>
      <c r="E79" s="293"/>
      <c r="F79" s="293"/>
      <c r="G79" s="336"/>
      <c r="H79" s="336"/>
      <c r="I79" s="336"/>
      <c r="J79" s="11"/>
      <c r="K79" s="10"/>
      <c r="L79" s="6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62" t="s">
        <v>11</v>
      </c>
      <c r="AO79" s="61" t="s">
        <v>11</v>
      </c>
      <c r="AP79" s="60"/>
      <c r="AQ79" s="39" t="s">
        <v>37</v>
      </c>
      <c r="AR79" s="15" t="s">
        <v>16</v>
      </c>
      <c r="AS79" s="143" t="s">
        <v>78</v>
      </c>
    </row>
    <row r="80" spans="1:49" hidden="1">
      <c r="A80" s="292"/>
      <c r="B80" s="292"/>
      <c r="C80" s="292"/>
      <c r="D80" s="292"/>
      <c r="E80" s="292"/>
      <c r="F80" s="292"/>
      <c r="G80" s="292"/>
      <c r="H80" s="292"/>
      <c r="I80" s="292"/>
      <c r="J80" s="11"/>
      <c r="K80" s="10"/>
      <c r="L80" s="6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61"/>
      <c r="AP80" s="60"/>
      <c r="AQ80" s="11"/>
      <c r="AR80" s="62"/>
      <c r="AS80" s="62"/>
    </row>
    <row r="81" spans="1:46" hidden="1">
      <c r="A81" s="293"/>
      <c r="B81" s="293"/>
      <c r="C81" s="293"/>
      <c r="D81" s="293"/>
      <c r="E81" s="293"/>
      <c r="F81" s="293"/>
      <c r="G81" s="293"/>
      <c r="H81" s="293"/>
      <c r="I81" s="293"/>
      <c r="J81" s="11"/>
      <c r="K81" s="10"/>
      <c r="L81" s="60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61"/>
      <c r="AP81" s="60"/>
      <c r="AQ81" s="11"/>
      <c r="AR81" s="62"/>
      <c r="AS81" s="62"/>
    </row>
    <row r="82" spans="1:46" hidden="1">
      <c r="A82" s="292"/>
      <c r="B82" s="292"/>
      <c r="C82" s="292"/>
      <c r="D82" s="292"/>
      <c r="E82" s="292"/>
      <c r="F82" s="292"/>
      <c r="G82" s="292"/>
      <c r="H82" s="292"/>
      <c r="I82" s="292"/>
      <c r="J82" s="11"/>
      <c r="K82" s="10"/>
      <c r="L82" s="6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61"/>
      <c r="AP82" s="60"/>
      <c r="AQ82" s="11"/>
      <c r="AR82" s="62"/>
      <c r="AS82" s="62"/>
    </row>
    <row r="83" spans="1:46" hidden="1">
      <c r="A83" s="293"/>
      <c r="B83" s="293"/>
      <c r="C83" s="293"/>
      <c r="D83" s="293"/>
      <c r="E83" s="293"/>
      <c r="F83" s="293"/>
      <c r="G83" s="293"/>
      <c r="H83" s="293"/>
      <c r="I83" s="293"/>
      <c r="J83" s="11"/>
      <c r="K83" s="10"/>
      <c r="L83" s="6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61"/>
      <c r="AP83" s="60"/>
      <c r="AQ83" s="11"/>
      <c r="AR83" s="62"/>
      <c r="AS83" s="62"/>
    </row>
    <row r="84" spans="1:46" ht="19.95" customHeight="1">
      <c r="A84" s="51"/>
      <c r="E84" s="2"/>
      <c r="F84" s="12"/>
      <c r="G84" s="12"/>
      <c r="H84" s="12"/>
      <c r="I84" s="12"/>
      <c r="J84" s="5">
        <f>COUNTA(J6:J83)*0.5</f>
        <v>3</v>
      </c>
      <c r="K84" s="5"/>
      <c r="L84" s="5">
        <f t="shared" ref="L84:U84" si="5">COUNTA(L6:L83)*0.5</f>
        <v>1.5</v>
      </c>
      <c r="M84" s="5">
        <f t="shared" si="5"/>
        <v>1</v>
      </c>
      <c r="N84" s="5">
        <f t="shared" si="5"/>
        <v>2</v>
      </c>
      <c r="O84" s="5">
        <f t="shared" si="5"/>
        <v>2</v>
      </c>
      <c r="P84" s="5">
        <f t="shared" si="5"/>
        <v>3</v>
      </c>
      <c r="Q84" s="5">
        <f t="shared" si="5"/>
        <v>2.5</v>
      </c>
      <c r="R84" s="5">
        <f t="shared" si="5"/>
        <v>2.5</v>
      </c>
      <c r="S84" s="5">
        <f t="shared" si="5"/>
        <v>2</v>
      </c>
      <c r="T84" s="5">
        <f t="shared" si="5"/>
        <v>1.5</v>
      </c>
      <c r="U84" s="5">
        <f t="shared" si="5"/>
        <v>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>
        <v>1</v>
      </c>
      <c r="AG84" s="5"/>
      <c r="AH84" s="5"/>
      <c r="AI84" s="5">
        <v>2</v>
      </c>
      <c r="AJ84" s="5"/>
      <c r="AK84" s="5">
        <v>1</v>
      </c>
      <c r="AL84" s="5"/>
      <c r="AM84" s="5"/>
      <c r="AN84" s="5"/>
      <c r="AO84" s="5"/>
      <c r="AP84" s="5">
        <v>2</v>
      </c>
      <c r="AQ84" s="5">
        <v>1</v>
      </c>
      <c r="AR84" s="5"/>
      <c r="AS84" s="5"/>
    </row>
    <row r="85" spans="1:46" ht="19.95" customHeight="1">
      <c r="AI85" s="1">
        <v>6</v>
      </c>
      <c r="AJ85" s="1">
        <v>2</v>
      </c>
      <c r="AK85" s="1">
        <v>2</v>
      </c>
      <c r="AL85" s="1">
        <v>0</v>
      </c>
      <c r="AM85" s="1">
        <v>2</v>
      </c>
      <c r="AR85" s="1">
        <v>2</v>
      </c>
      <c r="AS85" s="1">
        <v>0</v>
      </c>
      <c r="AT85" s="1">
        <v>1</v>
      </c>
    </row>
    <row r="86" spans="1:46" hidden="1"/>
    <row r="87" spans="1:46" hidden="1">
      <c r="B87" s="301"/>
      <c r="C87" s="301"/>
      <c r="D87" s="301"/>
      <c r="E87" s="301"/>
      <c r="F87" s="301"/>
    </row>
    <row r="88" spans="1:46" hidden="1">
      <c r="I88" s="6" t="s">
        <v>14</v>
      </c>
      <c r="J88" s="141" t="s">
        <v>47</v>
      </c>
      <c r="K88" s="45"/>
      <c r="L88" s="24" t="s">
        <v>17</v>
      </c>
      <c r="M88" s="23" t="s">
        <v>19</v>
      </c>
      <c r="N88" s="14" t="s">
        <v>21</v>
      </c>
      <c r="O88" s="26" t="s">
        <v>26</v>
      </c>
      <c r="P88" s="15" t="s">
        <v>16</v>
      </c>
      <c r="Q88" s="16" t="s">
        <v>23</v>
      </c>
      <c r="R88" s="22" t="s">
        <v>8</v>
      </c>
      <c r="S88" s="3"/>
      <c r="T88" s="17" t="s">
        <v>24</v>
      </c>
      <c r="U88" s="36" t="s">
        <v>36</v>
      </c>
      <c r="W88" s="38" t="s">
        <v>13</v>
      </c>
      <c r="X88" s="38"/>
      <c r="Y88" s="38"/>
      <c r="Z88" s="46" t="s">
        <v>37</v>
      </c>
      <c r="AB88" s="50" t="s">
        <v>49</v>
      </c>
      <c r="AC88" s="3"/>
      <c r="AD88" s="48" t="s">
        <v>50</v>
      </c>
      <c r="AE88" s="15" t="s">
        <v>16</v>
      </c>
      <c r="AF88" s="28" t="s">
        <v>9</v>
      </c>
      <c r="AG88" s="17" t="s">
        <v>22</v>
      </c>
      <c r="AH88" s="16" t="s">
        <v>23</v>
      </c>
      <c r="AI88" s="3"/>
      <c r="AJ88" s="41" t="s">
        <v>41</v>
      </c>
      <c r="AK88" s="66" t="s">
        <v>37</v>
      </c>
      <c r="AL88" s="3"/>
      <c r="AM88" s="3"/>
      <c r="AN88" s="3"/>
      <c r="AO88" s="3"/>
      <c r="AP88" s="3"/>
      <c r="AQ88" s="3"/>
      <c r="AR88" s="3"/>
      <c r="AS88" s="3"/>
    </row>
    <row r="89" spans="1:46" hidden="1">
      <c r="I89" s="6"/>
      <c r="J89" s="25" t="s">
        <v>15</v>
      </c>
      <c r="K89" s="25"/>
      <c r="L89" s="28" t="s">
        <v>18</v>
      </c>
      <c r="M89" s="27" t="s">
        <v>20</v>
      </c>
      <c r="N89" s="19" t="s">
        <v>25</v>
      </c>
      <c r="O89" s="29" t="s">
        <v>27</v>
      </c>
      <c r="P89" s="20" t="s">
        <v>13</v>
      </c>
      <c r="Q89" s="21" t="s">
        <v>39</v>
      </c>
      <c r="R89" s="22"/>
      <c r="T89" s="17" t="s">
        <v>22</v>
      </c>
      <c r="U89" s="37" t="s">
        <v>38</v>
      </c>
      <c r="Z89" s="46" t="s">
        <v>42</v>
      </c>
      <c r="AB89" s="50" t="s">
        <v>22</v>
      </c>
      <c r="AC89" s="3"/>
      <c r="AD89" s="48" t="s">
        <v>52</v>
      </c>
      <c r="AE89" s="20" t="s">
        <v>13</v>
      </c>
      <c r="AF89" s="25" t="s">
        <v>15</v>
      </c>
      <c r="AG89" s="17" t="s">
        <v>22</v>
      </c>
      <c r="AH89" s="49" t="s">
        <v>51</v>
      </c>
      <c r="AI89" s="3"/>
      <c r="AJ89" s="41" t="s">
        <v>41</v>
      </c>
      <c r="AK89" s="66"/>
      <c r="AL89" s="3"/>
      <c r="AM89" s="3"/>
      <c r="AN89" s="3"/>
      <c r="AO89" s="3"/>
      <c r="AP89" s="3"/>
      <c r="AQ89" s="3"/>
      <c r="AR89" s="3"/>
      <c r="AS89" s="3"/>
    </row>
    <row r="90" spans="1:46" hidden="1">
      <c r="I90" s="6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6" hidden="1"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93" t="s">
        <v>148</v>
      </c>
      <c r="Z91" s="93"/>
      <c r="AA91" s="93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 spans="1:46">
      <c r="J92" s="9">
        <v>16</v>
      </c>
      <c r="K92" s="56">
        <f t="shared" ref="K92" si="6">J92+1</f>
        <v>17</v>
      </c>
      <c r="L92" s="57">
        <f t="shared" ref="L92" si="7">K92+1</f>
        <v>18</v>
      </c>
      <c r="M92" s="9">
        <f t="shared" ref="M92" si="8">L92+1</f>
        <v>19</v>
      </c>
      <c r="N92" s="9">
        <f t="shared" ref="N92" si="9">M92+1</f>
        <v>20</v>
      </c>
      <c r="O92" s="9">
        <f t="shared" ref="O92" si="10">N92+1</f>
        <v>21</v>
      </c>
      <c r="P92" s="9">
        <f t="shared" ref="P92" si="11">O92+1</f>
        <v>22</v>
      </c>
      <c r="Q92" s="9">
        <f t="shared" ref="Q92" si="12">P92+1</f>
        <v>23</v>
      </c>
      <c r="R92" s="9">
        <f t="shared" ref="R92" si="13">Q92+1</f>
        <v>24</v>
      </c>
      <c r="S92" s="9">
        <f t="shared" ref="S92" si="14">R92+1</f>
        <v>25</v>
      </c>
      <c r="T92" s="9">
        <f t="shared" ref="T92" si="15">S92+1</f>
        <v>26</v>
      </c>
      <c r="U92" s="9">
        <f t="shared" ref="U92" si="16">T92+1</f>
        <v>27</v>
      </c>
      <c r="V92" s="9">
        <f t="shared" ref="V92" si="17">U92+1</f>
        <v>28</v>
      </c>
      <c r="W92" s="9">
        <f t="shared" ref="W92" si="18">V92+1</f>
        <v>29</v>
      </c>
      <c r="X92" s="9">
        <f t="shared" ref="X92" si="19">W92+1</f>
        <v>30</v>
      </c>
      <c r="Y92" s="9">
        <v>1</v>
      </c>
      <c r="Z92" s="9">
        <f t="shared" ref="Z92" si="20">Y92+1</f>
        <v>2</v>
      </c>
      <c r="AA92" s="9">
        <f t="shared" ref="AA92" si="21">Z92+1</f>
        <v>3</v>
      </c>
      <c r="AB92" s="9">
        <f t="shared" ref="AB92" si="22">AA92+1</f>
        <v>4</v>
      </c>
      <c r="AC92" s="9">
        <f t="shared" ref="AC92" si="23">AB92+1</f>
        <v>5</v>
      </c>
      <c r="AD92" s="9">
        <f t="shared" ref="AD92" si="24">AC92+1</f>
        <v>6</v>
      </c>
      <c r="AE92" s="9">
        <f t="shared" ref="AE92" si="25">AD92+1</f>
        <v>7</v>
      </c>
      <c r="AF92" s="9">
        <f t="shared" ref="AF92" si="26">AE92+1</f>
        <v>8</v>
      </c>
      <c r="AG92" s="9">
        <f t="shared" ref="AG92" si="27">AF92+1</f>
        <v>9</v>
      </c>
      <c r="AH92" s="9">
        <f t="shared" ref="AH92" si="28">AG92+1</f>
        <v>10</v>
      </c>
      <c r="AI92" s="9">
        <f t="shared" ref="AI92" si="29">AH92+1</f>
        <v>11</v>
      </c>
      <c r="AJ92" s="9">
        <f t="shared" ref="AJ92" si="30">AI92+1</f>
        <v>12</v>
      </c>
      <c r="AK92" s="13">
        <f t="shared" ref="AK92" si="31">AJ92+1</f>
        <v>13</v>
      </c>
      <c r="AL92" s="13">
        <f t="shared" ref="AL92" si="32">AK92+1</f>
        <v>14</v>
      </c>
      <c r="AM92" s="13">
        <f t="shared" ref="AM92" si="33">AL92+1</f>
        <v>15</v>
      </c>
      <c r="AN92" s="9">
        <f t="shared" ref="AN92" si="34">AM92+1</f>
        <v>16</v>
      </c>
      <c r="AO92" s="56">
        <f t="shared" ref="AO92:AS92" si="35">AN92+1</f>
        <v>17</v>
      </c>
      <c r="AP92" s="57">
        <f t="shared" si="35"/>
        <v>18</v>
      </c>
      <c r="AQ92" s="9">
        <f t="shared" si="35"/>
        <v>19</v>
      </c>
      <c r="AR92" s="9">
        <f t="shared" si="35"/>
        <v>20</v>
      </c>
      <c r="AS92" s="9">
        <f t="shared" si="35"/>
        <v>21</v>
      </c>
    </row>
    <row r="93" spans="1:46">
      <c r="J93" s="139" t="s">
        <v>33</v>
      </c>
      <c r="K93" s="140" t="s">
        <v>34</v>
      </c>
      <c r="L93" s="73" t="s">
        <v>28</v>
      </c>
      <c r="M93" s="32" t="s">
        <v>29</v>
      </c>
      <c r="N93" s="30" t="s">
        <v>30</v>
      </c>
      <c r="O93" s="30" t="s">
        <v>31</v>
      </c>
      <c r="P93" s="30" t="s">
        <v>32</v>
      </c>
      <c r="Q93" s="139" t="s">
        <v>33</v>
      </c>
      <c r="R93" s="139" t="s">
        <v>34</v>
      </c>
      <c r="S93" s="31" t="s">
        <v>28</v>
      </c>
      <c r="T93" s="32" t="s">
        <v>29</v>
      </c>
      <c r="U93" s="30" t="s">
        <v>30</v>
      </c>
      <c r="V93" s="30" t="s">
        <v>31</v>
      </c>
      <c r="W93" s="124" t="s">
        <v>32</v>
      </c>
      <c r="X93" s="139" t="s">
        <v>33</v>
      </c>
      <c r="Y93" s="139" t="s">
        <v>34</v>
      </c>
      <c r="Z93" s="132" t="s">
        <v>28</v>
      </c>
      <c r="AA93" s="124" t="s">
        <v>29</v>
      </c>
      <c r="AB93" s="124" t="s">
        <v>30</v>
      </c>
      <c r="AC93" s="124" t="s">
        <v>31</v>
      </c>
      <c r="AD93" s="124" t="s">
        <v>32</v>
      </c>
      <c r="AE93" s="139" t="s">
        <v>33</v>
      </c>
      <c r="AF93" s="139" t="s">
        <v>34</v>
      </c>
      <c r="AG93" s="31" t="s">
        <v>28</v>
      </c>
      <c r="AH93" s="32" t="s">
        <v>29</v>
      </c>
      <c r="AI93" s="30" t="s">
        <v>30</v>
      </c>
      <c r="AJ93" s="30" t="s">
        <v>31</v>
      </c>
      <c r="AK93" s="30" t="s">
        <v>32</v>
      </c>
      <c r="AL93" s="186" t="s">
        <v>33</v>
      </c>
      <c r="AM93" s="186" t="s">
        <v>34</v>
      </c>
      <c r="AN93" s="187" t="s">
        <v>28</v>
      </c>
      <c r="AO93" s="71" t="s">
        <v>29</v>
      </c>
      <c r="AP93" s="59" t="s">
        <v>30</v>
      </c>
      <c r="AQ93" s="30" t="s">
        <v>31</v>
      </c>
      <c r="AR93" s="30" t="s">
        <v>32</v>
      </c>
      <c r="AS93" s="68" t="s">
        <v>33</v>
      </c>
    </row>
    <row r="94" spans="1:46" ht="18" customHeight="1" thickBot="1">
      <c r="A94" s="302" t="s">
        <v>10</v>
      </c>
      <c r="B94" s="302"/>
      <c r="C94" s="302"/>
      <c r="D94" s="302"/>
      <c r="E94" s="302"/>
      <c r="F94" s="302"/>
      <c r="H94" s="339" t="s">
        <v>219</v>
      </c>
      <c r="I94" s="304"/>
      <c r="J94" s="11"/>
      <c r="K94" s="313" t="s">
        <v>77</v>
      </c>
      <c r="L94" s="313"/>
      <c r="M94" s="11"/>
      <c r="N94" s="11"/>
      <c r="O94" s="11"/>
      <c r="P94" s="313" t="s">
        <v>77</v>
      </c>
      <c r="Q94" s="313"/>
      <c r="R94" s="11"/>
      <c r="S94" s="11"/>
      <c r="T94" s="11"/>
      <c r="U94" s="11"/>
      <c r="V94" s="313" t="s">
        <v>77</v>
      </c>
      <c r="W94" s="313"/>
      <c r="X94" s="11"/>
      <c r="Y94" s="62" t="s">
        <v>11</v>
      </c>
      <c r="Z94" s="11"/>
      <c r="AA94" s="11"/>
      <c r="AB94" s="62" t="s">
        <v>11</v>
      </c>
      <c r="AC94" s="11"/>
      <c r="AD94" s="313" t="s">
        <v>77</v>
      </c>
      <c r="AE94" s="313"/>
      <c r="AF94" s="62" t="s">
        <v>11</v>
      </c>
      <c r="AG94" s="313" t="s">
        <v>77</v>
      </c>
      <c r="AH94" s="313"/>
      <c r="AI94" s="313" t="s">
        <v>218</v>
      </c>
      <c r="AJ94" s="313"/>
      <c r="AK94" s="15" t="s">
        <v>16</v>
      </c>
      <c r="AL94" s="143" t="s">
        <v>78</v>
      </c>
      <c r="AM94" s="143" t="s">
        <v>78</v>
      </c>
      <c r="AN94" s="143" t="s">
        <v>78</v>
      </c>
      <c r="AO94" s="154" t="s">
        <v>78</v>
      </c>
      <c r="AP94" s="60" t="s">
        <v>11</v>
      </c>
      <c r="AQ94" s="45"/>
      <c r="AR94" s="45"/>
      <c r="AS94" s="141" t="s">
        <v>47</v>
      </c>
    </row>
    <row r="95" spans="1:46" ht="18" customHeight="1" thickTop="1" thickBot="1">
      <c r="A95" s="302"/>
      <c r="B95" s="302"/>
      <c r="C95" s="302"/>
      <c r="D95" s="302"/>
      <c r="E95" s="302"/>
      <c r="F95" s="302"/>
      <c r="H95" s="305"/>
      <c r="I95" s="306"/>
      <c r="J95" s="80"/>
      <c r="K95" s="326"/>
      <c r="L95" s="326"/>
      <c r="M95" s="80"/>
      <c r="N95" s="80"/>
      <c r="O95" s="80"/>
      <c r="P95" s="326"/>
      <c r="Q95" s="326"/>
      <c r="R95" s="80"/>
      <c r="S95" s="80"/>
      <c r="T95" s="80"/>
      <c r="U95" s="80"/>
      <c r="V95" s="326"/>
      <c r="W95" s="326"/>
      <c r="X95" s="80"/>
      <c r="Y95" s="62" t="s">
        <v>11</v>
      </c>
      <c r="Z95" s="80"/>
      <c r="AA95" s="80"/>
      <c r="AB95" s="62" t="s">
        <v>11</v>
      </c>
      <c r="AC95" s="196"/>
      <c r="AD95" s="326"/>
      <c r="AE95" s="326"/>
      <c r="AF95" s="80" t="s">
        <v>11</v>
      </c>
      <c r="AG95" s="326"/>
      <c r="AH95" s="326"/>
      <c r="AI95" s="326"/>
      <c r="AJ95" s="326"/>
      <c r="AK95" s="20" t="s">
        <v>13</v>
      </c>
      <c r="AL95" s="143" t="s">
        <v>78</v>
      </c>
      <c r="AM95" s="143" t="s">
        <v>78</v>
      </c>
      <c r="AN95" s="143" t="s">
        <v>78</v>
      </c>
      <c r="AO95" s="167" t="s">
        <v>78</v>
      </c>
      <c r="AP95" s="96"/>
      <c r="AQ95" s="170"/>
      <c r="AR95" s="170"/>
      <c r="AS95" s="25" t="s">
        <v>15</v>
      </c>
    </row>
    <row r="96" spans="1:46" ht="18" customHeight="1" thickTop="1" thickBot="1">
      <c r="A96" s="302"/>
      <c r="B96" s="302"/>
      <c r="C96" s="302"/>
      <c r="D96" s="302"/>
      <c r="E96" s="302"/>
      <c r="F96" s="302"/>
      <c r="H96" s="305" t="s">
        <v>57</v>
      </c>
      <c r="I96" s="306"/>
      <c r="J96" s="78" t="s">
        <v>11</v>
      </c>
      <c r="K96" s="78" t="s">
        <v>11</v>
      </c>
      <c r="L96" s="142" t="s">
        <v>78</v>
      </c>
      <c r="M96" s="142" t="s">
        <v>78</v>
      </c>
      <c r="N96" s="107" t="s">
        <v>149</v>
      </c>
      <c r="O96" s="144" t="s">
        <v>149</v>
      </c>
      <c r="P96" s="145" t="s">
        <v>149</v>
      </c>
      <c r="Q96" s="78" t="s">
        <v>11</v>
      </c>
      <c r="R96" s="78" t="s">
        <v>11</v>
      </c>
      <c r="S96" s="142" t="s">
        <v>78</v>
      </c>
      <c r="T96" s="142" t="s">
        <v>78</v>
      </c>
      <c r="U96" s="78" t="s">
        <v>11</v>
      </c>
      <c r="V96" s="142" t="s">
        <v>78</v>
      </c>
      <c r="W96" s="142" t="s">
        <v>78</v>
      </c>
      <c r="X96" s="78" t="s">
        <v>11</v>
      </c>
      <c r="Y96" s="78" t="s">
        <v>11</v>
      </c>
      <c r="Z96" s="142" t="s">
        <v>78</v>
      </c>
      <c r="AA96" s="142" t="s">
        <v>78</v>
      </c>
      <c r="AB96" s="142" t="s">
        <v>78</v>
      </c>
      <c r="AC96" s="142" t="s">
        <v>78</v>
      </c>
      <c r="AD96" s="78" t="s">
        <v>11</v>
      </c>
      <c r="AE96" s="78" t="s">
        <v>11</v>
      </c>
      <c r="AF96" s="157" t="s">
        <v>79</v>
      </c>
      <c r="AG96" s="142" t="s">
        <v>78</v>
      </c>
      <c r="AH96" s="156" t="s">
        <v>78</v>
      </c>
      <c r="AI96" s="157" t="s">
        <v>79</v>
      </c>
      <c r="AJ96" s="141" t="s">
        <v>47</v>
      </c>
      <c r="AK96" s="101" t="s">
        <v>13</v>
      </c>
      <c r="AL96" s="78" t="s">
        <v>11</v>
      </c>
      <c r="AM96" s="78" t="s">
        <v>11</v>
      </c>
      <c r="AN96" s="142" t="s">
        <v>78</v>
      </c>
      <c r="AO96" s="142" t="s">
        <v>78</v>
      </c>
      <c r="AP96" s="99" t="s">
        <v>11</v>
      </c>
      <c r="AQ96" s="171"/>
      <c r="AR96" s="94" t="s">
        <v>16</v>
      </c>
      <c r="AS96" s="171"/>
      <c r="AT96" s="52"/>
    </row>
    <row r="97" spans="1:45" ht="18" customHeight="1" thickTop="1">
      <c r="A97" s="302"/>
      <c r="B97" s="302"/>
      <c r="C97" s="302"/>
      <c r="D97" s="302"/>
      <c r="E97" s="302"/>
      <c r="F97" s="302"/>
      <c r="H97" s="307"/>
      <c r="I97" s="308"/>
      <c r="J97" s="329"/>
      <c r="K97" s="330"/>
      <c r="L97" s="143" t="s">
        <v>78</v>
      </c>
      <c r="M97" s="143" t="s">
        <v>78</v>
      </c>
      <c r="N97" s="64" t="s">
        <v>173</v>
      </c>
      <c r="O97" s="129" t="s">
        <v>174</v>
      </c>
      <c r="P97" s="11"/>
      <c r="Q97" s="40"/>
      <c r="R97" s="40"/>
      <c r="S97" s="143" t="s">
        <v>78</v>
      </c>
      <c r="T97" s="143" t="s">
        <v>78</v>
      </c>
      <c r="U97" s="11"/>
      <c r="V97" s="143" t="s">
        <v>78</v>
      </c>
      <c r="W97" s="143" t="s">
        <v>78</v>
      </c>
      <c r="X97" s="11"/>
      <c r="Y97" s="11"/>
      <c r="Z97" s="143" t="s">
        <v>78</v>
      </c>
      <c r="AA97" s="143" t="s">
        <v>78</v>
      </c>
      <c r="AB97" s="143" t="s">
        <v>78</v>
      </c>
      <c r="AC97" s="143" t="s">
        <v>78</v>
      </c>
      <c r="AD97" s="11"/>
      <c r="AE97" s="11"/>
      <c r="AF97" s="39" t="s">
        <v>37</v>
      </c>
      <c r="AG97" s="143" t="s">
        <v>78</v>
      </c>
      <c r="AH97" s="154" t="s">
        <v>78</v>
      </c>
      <c r="AI97" s="39" t="s">
        <v>37</v>
      </c>
      <c r="AJ97" s="25" t="s">
        <v>15</v>
      </c>
      <c r="AK97" s="15" t="s">
        <v>16</v>
      </c>
      <c r="AL97" s="158" t="s">
        <v>182</v>
      </c>
      <c r="AM97" s="64"/>
      <c r="AN97" s="197" t="s">
        <v>216</v>
      </c>
      <c r="AO97" s="143" t="s">
        <v>78</v>
      </c>
      <c r="AP97" s="11"/>
      <c r="AQ97" s="45"/>
      <c r="AR97" s="20" t="s">
        <v>13</v>
      </c>
      <c r="AS97" s="45"/>
    </row>
    <row r="98" spans="1:45" ht="18" customHeight="1">
      <c r="H98" s="309"/>
      <c r="I98" s="3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61"/>
      <c r="AI98" s="62"/>
      <c r="AJ98" s="11" t="s">
        <v>217</v>
      </c>
      <c r="AK98" s="11" t="s">
        <v>191</v>
      </c>
      <c r="AL98" s="11"/>
      <c r="AM98" s="11"/>
      <c r="AN98" s="11"/>
      <c r="AO98" s="11"/>
      <c r="AP98" s="11"/>
      <c r="AQ98" s="11"/>
      <c r="AR98" s="11"/>
      <c r="AS98" s="11"/>
    </row>
    <row r="99" spans="1:45" ht="18" customHeight="1" thickBot="1">
      <c r="H99" s="309"/>
      <c r="I99" s="31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D99" s="7"/>
      <c r="AE99" s="7"/>
      <c r="AF99" s="7"/>
      <c r="AG99" s="7"/>
      <c r="AH99" s="89"/>
      <c r="AI99" s="65"/>
      <c r="AJ99" s="80"/>
      <c r="AK99" s="80"/>
      <c r="AL99" s="7"/>
      <c r="AM99" s="7"/>
      <c r="AN99" s="7"/>
      <c r="AO99" s="7"/>
      <c r="AP99" s="80"/>
      <c r="AQ99" s="80"/>
      <c r="AR99" s="80"/>
      <c r="AS99" s="80"/>
    </row>
    <row r="100" spans="1:45" ht="18" customHeight="1" thickTop="1">
      <c r="H100" s="340" t="s">
        <v>190</v>
      </c>
      <c r="I100" s="340"/>
      <c r="J100" s="78"/>
      <c r="K100" s="79"/>
      <c r="L100" s="91"/>
      <c r="M100" s="78"/>
      <c r="N100" s="78"/>
      <c r="O100" s="78"/>
      <c r="P100" s="78"/>
      <c r="Q100" s="78"/>
      <c r="R100" s="78"/>
      <c r="S100" s="78"/>
      <c r="T100" s="78"/>
      <c r="U100" s="78"/>
      <c r="V100" s="350" t="s">
        <v>77</v>
      </c>
      <c r="W100" s="350"/>
      <c r="X100" s="350" t="s">
        <v>77</v>
      </c>
      <c r="Y100" s="350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 t="s">
        <v>248</v>
      </c>
      <c r="AM100" s="143" t="s">
        <v>78</v>
      </c>
      <c r="AN100" s="78" t="s">
        <v>250</v>
      </c>
      <c r="AO100" s="78" t="s">
        <v>250</v>
      </c>
      <c r="AP100" s="91" t="s">
        <v>11</v>
      </c>
      <c r="AQ100" s="171"/>
      <c r="AR100" s="171"/>
      <c r="AS100" s="171"/>
    </row>
    <row r="101" spans="1:45" ht="18" customHeight="1">
      <c r="H101" s="300"/>
      <c r="I101" s="300"/>
      <c r="J101" s="11"/>
      <c r="K101" s="61"/>
      <c r="L101" s="60"/>
      <c r="M101" s="11"/>
      <c r="N101" s="11"/>
      <c r="O101" s="11"/>
      <c r="P101" s="11"/>
      <c r="Q101" s="11"/>
      <c r="R101" s="11"/>
      <c r="S101" s="11"/>
      <c r="T101" s="11"/>
      <c r="U101" s="11"/>
      <c r="V101" s="351"/>
      <c r="W101" s="351"/>
      <c r="X101" s="351"/>
      <c r="Y101" s="35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43" t="s">
        <v>78</v>
      </c>
      <c r="AN101" s="11" t="s">
        <v>250</v>
      </c>
      <c r="AO101" s="11" t="s">
        <v>250</v>
      </c>
      <c r="AP101" s="60"/>
      <c r="AQ101" s="45"/>
      <c r="AR101" s="45"/>
      <c r="AS101" s="45"/>
    </row>
    <row r="102" spans="1:45" ht="18" customHeight="1">
      <c r="H102" s="341" t="s">
        <v>184</v>
      </c>
      <c r="I102" s="341"/>
      <c r="J102" s="11"/>
      <c r="K102" s="10"/>
      <c r="L102" s="6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61"/>
      <c r="AP102" s="60"/>
      <c r="AQ102" s="11"/>
      <c r="AR102" s="62"/>
      <c r="AS102" s="62"/>
    </row>
    <row r="103" spans="1:45" ht="18" customHeight="1">
      <c r="H103" s="341"/>
      <c r="I103" s="341"/>
      <c r="J103" s="11"/>
      <c r="K103" s="10"/>
      <c r="L103" s="60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66">
        <v>0.5</v>
      </c>
      <c r="AG103" s="166">
        <v>1</v>
      </c>
      <c r="AH103" s="166">
        <v>1</v>
      </c>
      <c r="AI103" s="166">
        <v>0.5</v>
      </c>
      <c r="AJ103" s="166">
        <v>1.5</v>
      </c>
      <c r="AK103" s="166">
        <v>1.5</v>
      </c>
      <c r="AL103" s="166">
        <v>1</v>
      </c>
      <c r="AM103" s="166">
        <v>2.5</v>
      </c>
      <c r="AN103" s="166">
        <v>2</v>
      </c>
      <c r="AO103" s="169">
        <v>3</v>
      </c>
      <c r="AP103" s="168">
        <v>0.5</v>
      </c>
      <c r="AQ103" s="166">
        <v>3.5</v>
      </c>
      <c r="AR103" s="166">
        <v>3.5</v>
      </c>
      <c r="AS103" s="166">
        <v>2</v>
      </c>
    </row>
  </sheetData>
  <mergeCells count="383">
    <mergeCell ref="C72:C73"/>
    <mergeCell ref="D72:D73"/>
    <mergeCell ref="E72:E73"/>
    <mergeCell ref="A50:A51"/>
    <mergeCell ref="A44:A45"/>
    <mergeCell ref="B44:B45"/>
    <mergeCell ref="C44:C45"/>
    <mergeCell ref="D44:D45"/>
    <mergeCell ref="E44:E45"/>
    <mergeCell ref="B48:B49"/>
    <mergeCell ref="C48:C49"/>
    <mergeCell ref="D48:D49"/>
    <mergeCell ref="E48:E49"/>
    <mergeCell ref="A48:A49"/>
    <mergeCell ref="B56:B57"/>
    <mergeCell ref="C56:C57"/>
    <mergeCell ref="D56:D57"/>
    <mergeCell ref="AT70:AU71"/>
    <mergeCell ref="AT72:AU73"/>
    <mergeCell ref="Z42:AC73"/>
    <mergeCell ref="B68:B69"/>
    <mergeCell ref="C68:C69"/>
    <mergeCell ref="D68:D69"/>
    <mergeCell ref="E68:E69"/>
    <mergeCell ref="F68:F69"/>
    <mergeCell ref="E66:E67"/>
    <mergeCell ref="F66:F67"/>
    <mergeCell ref="F42:F43"/>
    <mergeCell ref="H44:H45"/>
    <mergeCell ref="D54:D55"/>
    <mergeCell ref="B50:B51"/>
    <mergeCell ref="C50:C51"/>
    <mergeCell ref="D50:D51"/>
    <mergeCell ref="E50:E51"/>
    <mergeCell ref="F50:F51"/>
    <mergeCell ref="G48:G49"/>
    <mergeCell ref="G42:G43"/>
    <mergeCell ref="H42:H43"/>
    <mergeCell ref="H52:H53"/>
    <mergeCell ref="E42:E43"/>
    <mergeCell ref="B72:B73"/>
    <mergeCell ref="V100:W101"/>
    <mergeCell ref="X100:Y101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A78:A79"/>
    <mergeCell ref="B78:B79"/>
    <mergeCell ref="C78:C79"/>
    <mergeCell ref="D78:D79"/>
    <mergeCell ref="E78:E79"/>
    <mergeCell ref="A76:A77"/>
    <mergeCell ref="B76:B77"/>
    <mergeCell ref="A74:A75"/>
    <mergeCell ref="B74:B75"/>
    <mergeCell ref="C74:C75"/>
    <mergeCell ref="J97:K97"/>
    <mergeCell ref="F78:F79"/>
    <mergeCell ref="G74:G75"/>
    <mergeCell ref="AG94:AH95"/>
    <mergeCell ref="AI94:AJ95"/>
    <mergeCell ref="G78:G79"/>
    <mergeCell ref="H78:H79"/>
    <mergeCell ref="H34:H35"/>
    <mergeCell ref="I34:I35"/>
    <mergeCell ref="G36:G37"/>
    <mergeCell ref="H36:H37"/>
    <mergeCell ref="G64:G65"/>
    <mergeCell ref="I36:I37"/>
    <mergeCell ref="H38:H39"/>
    <mergeCell ref="I38:I39"/>
    <mergeCell ref="AF44:AF51"/>
    <mergeCell ref="K94:L95"/>
    <mergeCell ref="P94:Q95"/>
    <mergeCell ref="V94:W95"/>
    <mergeCell ref="AD94:AE95"/>
    <mergeCell ref="G82:G83"/>
    <mergeCell ref="H82:H83"/>
    <mergeCell ref="I78:I79"/>
    <mergeCell ref="H76:H77"/>
    <mergeCell ref="I76:I77"/>
    <mergeCell ref="G76:G77"/>
    <mergeCell ref="I74:I75"/>
    <mergeCell ref="H28:H29"/>
    <mergeCell ref="I28:I29"/>
    <mergeCell ref="G50:G51"/>
    <mergeCell ref="G46:G47"/>
    <mergeCell ref="H46:H47"/>
    <mergeCell ref="I46:I47"/>
    <mergeCell ref="H60:H61"/>
    <mergeCell ref="H48:H49"/>
    <mergeCell ref="I52:I53"/>
    <mergeCell ref="I44:I45"/>
    <mergeCell ref="I50:I51"/>
    <mergeCell ref="I42:I43"/>
    <mergeCell ref="G56:G57"/>
    <mergeCell ref="H56:H57"/>
    <mergeCell ref="I56:I57"/>
    <mergeCell ref="I54:I55"/>
    <mergeCell ref="H50:H51"/>
    <mergeCell ref="G44:G45"/>
    <mergeCell ref="H54:H55"/>
    <mergeCell ref="H40:H41"/>
    <mergeCell ref="I40:I41"/>
    <mergeCell ref="G14:G15"/>
    <mergeCell ref="A10:A11"/>
    <mergeCell ref="B10:B11"/>
    <mergeCell ref="C10:C11"/>
    <mergeCell ref="D10:D11"/>
    <mergeCell ref="E10:E11"/>
    <mergeCell ref="F10:F11"/>
    <mergeCell ref="G10:G11"/>
    <mergeCell ref="A14:A15"/>
    <mergeCell ref="B14:B15"/>
    <mergeCell ref="C14:C15"/>
    <mergeCell ref="D14:D15"/>
    <mergeCell ref="F14:F15"/>
    <mergeCell ref="F8:F9"/>
    <mergeCell ref="I6:I7"/>
    <mergeCell ref="G8:G9"/>
    <mergeCell ref="H8:H9"/>
    <mergeCell ref="I8:I9"/>
    <mergeCell ref="G12:G13"/>
    <mergeCell ref="H12:H13"/>
    <mergeCell ref="I12:I13"/>
    <mergeCell ref="H10:H11"/>
    <mergeCell ref="I10:I11"/>
    <mergeCell ref="F6:F7"/>
    <mergeCell ref="F12:F13"/>
    <mergeCell ref="G6:G7"/>
    <mergeCell ref="H6:H7"/>
    <mergeCell ref="A1:AQ1"/>
    <mergeCell ref="AO2:AQ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K3:AM3"/>
    <mergeCell ref="A6:A7"/>
    <mergeCell ref="B6:B7"/>
    <mergeCell ref="C6:C7"/>
    <mergeCell ref="D6:D7"/>
    <mergeCell ref="E6:E7"/>
    <mergeCell ref="B16:B17"/>
    <mergeCell ref="C16:C17"/>
    <mergeCell ref="D16:D17"/>
    <mergeCell ref="E16:E17"/>
    <mergeCell ref="A16:A17"/>
    <mergeCell ref="A12:A13"/>
    <mergeCell ref="B12:B13"/>
    <mergeCell ref="C12:C13"/>
    <mergeCell ref="D12:D13"/>
    <mergeCell ref="E12:E13"/>
    <mergeCell ref="A8:A9"/>
    <mergeCell ref="B8:B9"/>
    <mergeCell ref="C8:C9"/>
    <mergeCell ref="D8:D9"/>
    <mergeCell ref="E8:E9"/>
    <mergeCell ref="A18:A19"/>
    <mergeCell ref="B18:B19"/>
    <mergeCell ref="A22:A23"/>
    <mergeCell ref="B22:B23"/>
    <mergeCell ref="C22:C23"/>
    <mergeCell ref="D22:D23"/>
    <mergeCell ref="E22:E23"/>
    <mergeCell ref="C18:C19"/>
    <mergeCell ref="D18:D19"/>
    <mergeCell ref="E18:E19"/>
    <mergeCell ref="C24:C25"/>
    <mergeCell ref="D24:D25"/>
    <mergeCell ref="E24:E25"/>
    <mergeCell ref="A20:A21"/>
    <mergeCell ref="B20:B21"/>
    <mergeCell ref="C20:C21"/>
    <mergeCell ref="D20:D21"/>
    <mergeCell ref="F24:F25"/>
    <mergeCell ref="E20:E21"/>
    <mergeCell ref="F20:F21"/>
    <mergeCell ref="A24:A25"/>
    <mergeCell ref="B24:B25"/>
    <mergeCell ref="B30:B31"/>
    <mergeCell ref="C30:C31"/>
    <mergeCell ref="F16:F17"/>
    <mergeCell ref="F22:F23"/>
    <mergeCell ref="F18:F19"/>
    <mergeCell ref="H20:H21"/>
    <mergeCell ref="I16:I17"/>
    <mergeCell ref="H14:H15"/>
    <mergeCell ref="I14:I15"/>
    <mergeCell ref="G16:G17"/>
    <mergeCell ref="G18:G19"/>
    <mergeCell ref="H18:H19"/>
    <mergeCell ref="I18:I19"/>
    <mergeCell ref="H16:H17"/>
    <mergeCell ref="G20:G21"/>
    <mergeCell ref="H26:H27"/>
    <mergeCell ref="I26:I27"/>
    <mergeCell ref="I24:I25"/>
    <mergeCell ref="G24:G25"/>
    <mergeCell ref="H24:H25"/>
    <mergeCell ref="G22:G23"/>
    <mergeCell ref="H22:H23"/>
    <mergeCell ref="I22:I23"/>
    <mergeCell ref="I20:I21"/>
    <mergeCell ref="E36:E37"/>
    <mergeCell ref="F36:F37"/>
    <mergeCell ref="A26:A27"/>
    <mergeCell ref="B26:B27"/>
    <mergeCell ref="C26:C27"/>
    <mergeCell ref="D26:D27"/>
    <mergeCell ref="E26:E27"/>
    <mergeCell ref="F26:F27"/>
    <mergeCell ref="G26:G27"/>
    <mergeCell ref="A34:A35"/>
    <mergeCell ref="B34:B35"/>
    <mergeCell ref="C34:C35"/>
    <mergeCell ref="D34:D35"/>
    <mergeCell ref="E34:E35"/>
    <mergeCell ref="F34:F35"/>
    <mergeCell ref="G34:G35"/>
    <mergeCell ref="A28:A29"/>
    <mergeCell ref="B28:B29"/>
    <mergeCell ref="C28:C29"/>
    <mergeCell ref="D28:D29"/>
    <mergeCell ref="E28:E29"/>
    <mergeCell ref="F28:F29"/>
    <mergeCell ref="G28:G29"/>
    <mergeCell ref="A30:A31"/>
    <mergeCell ref="A38:A39"/>
    <mergeCell ref="B38:B39"/>
    <mergeCell ref="C38:C39"/>
    <mergeCell ref="D38:D39"/>
    <mergeCell ref="E38:E39"/>
    <mergeCell ref="F38:F39"/>
    <mergeCell ref="G38:G39"/>
    <mergeCell ref="H102:I103"/>
    <mergeCell ref="A66:A67"/>
    <mergeCell ref="B66:B67"/>
    <mergeCell ref="C66:C67"/>
    <mergeCell ref="D66:D67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C76:C77"/>
    <mergeCell ref="A68:A69"/>
    <mergeCell ref="E76:E77"/>
    <mergeCell ref="F76:F77"/>
    <mergeCell ref="D74:D75"/>
    <mergeCell ref="E74:E75"/>
    <mergeCell ref="F74:F75"/>
    <mergeCell ref="I68:I69"/>
    <mergeCell ref="H100:I101"/>
    <mergeCell ref="H68:H69"/>
    <mergeCell ref="H98:I99"/>
    <mergeCell ref="A52:A53"/>
    <mergeCell ref="A54:A55"/>
    <mergeCell ref="A56:A57"/>
    <mergeCell ref="C52:C53"/>
    <mergeCell ref="D52:D53"/>
    <mergeCell ref="B54:B55"/>
    <mergeCell ref="C54:C55"/>
    <mergeCell ref="A62:A63"/>
    <mergeCell ref="B62:B63"/>
    <mergeCell ref="C62:C63"/>
    <mergeCell ref="D62:D63"/>
    <mergeCell ref="H74:H75"/>
    <mergeCell ref="H66:H67"/>
    <mergeCell ref="I66:I67"/>
    <mergeCell ref="D76:D77"/>
    <mergeCell ref="A72:A73"/>
    <mergeCell ref="D32:D33"/>
    <mergeCell ref="E32:E33"/>
    <mergeCell ref="F32:F33"/>
    <mergeCell ref="G32:G33"/>
    <mergeCell ref="H32:H33"/>
    <mergeCell ref="I48:I49"/>
    <mergeCell ref="A46:A47"/>
    <mergeCell ref="B46:B47"/>
    <mergeCell ref="C46:C47"/>
    <mergeCell ref="D46:D47"/>
    <mergeCell ref="E46:E47"/>
    <mergeCell ref="F46:F47"/>
    <mergeCell ref="F44:F45"/>
    <mergeCell ref="A40:A41"/>
    <mergeCell ref="B40:B41"/>
    <mergeCell ref="C40:C41"/>
    <mergeCell ref="D40:D41"/>
    <mergeCell ref="E40:E41"/>
    <mergeCell ref="F40:F41"/>
    <mergeCell ref="G40:G41"/>
    <mergeCell ref="C32:C33"/>
    <mergeCell ref="A36:A37"/>
    <mergeCell ref="B36:B37"/>
    <mergeCell ref="C36:C37"/>
    <mergeCell ref="D36:D37"/>
    <mergeCell ref="A42:A43"/>
    <mergeCell ref="B42:B43"/>
    <mergeCell ref="C42:C43"/>
    <mergeCell ref="D42:D43"/>
    <mergeCell ref="F72:F73"/>
    <mergeCell ref="G72:G73"/>
    <mergeCell ref="H72:H73"/>
    <mergeCell ref="I72:I73"/>
    <mergeCell ref="H64:H65"/>
    <mergeCell ref="I64:I65"/>
    <mergeCell ref="E56:E57"/>
    <mergeCell ref="F56:F57"/>
    <mergeCell ref="E52:E53"/>
    <mergeCell ref="F52:F53"/>
    <mergeCell ref="G52:G53"/>
    <mergeCell ref="E62:E63"/>
    <mergeCell ref="F62:F63"/>
    <mergeCell ref="I60:I61"/>
    <mergeCell ref="G62:G63"/>
    <mergeCell ref="H62:H63"/>
    <mergeCell ref="I62:I63"/>
    <mergeCell ref="G68:G69"/>
    <mergeCell ref="G66:G67"/>
    <mergeCell ref="D30:D31"/>
    <mergeCell ref="E30:E31"/>
    <mergeCell ref="F30:F31"/>
    <mergeCell ref="G30:G31"/>
    <mergeCell ref="I82:I83"/>
    <mergeCell ref="B87:D87"/>
    <mergeCell ref="E87:F87"/>
    <mergeCell ref="A94:F97"/>
    <mergeCell ref="H94:I95"/>
    <mergeCell ref="H96:I97"/>
    <mergeCell ref="H58:H59"/>
    <mergeCell ref="I58:I59"/>
    <mergeCell ref="A82:A83"/>
    <mergeCell ref="B82:B83"/>
    <mergeCell ref="C82:C83"/>
    <mergeCell ref="D82:D83"/>
    <mergeCell ref="E82:E83"/>
    <mergeCell ref="F82:F83"/>
    <mergeCell ref="I32:I33"/>
    <mergeCell ref="H30:H31"/>
    <mergeCell ref="I30:I31"/>
    <mergeCell ref="A32:A33"/>
    <mergeCell ref="B32:B33"/>
    <mergeCell ref="G60:G61"/>
    <mergeCell ref="F48:F49"/>
    <mergeCell ref="F58:F59"/>
    <mergeCell ref="G58:G59"/>
    <mergeCell ref="A64:A65"/>
    <mergeCell ref="B64:B65"/>
    <mergeCell ref="C64:C65"/>
    <mergeCell ref="D64:D65"/>
    <mergeCell ref="E64:E65"/>
    <mergeCell ref="F64:F65"/>
    <mergeCell ref="E54:E55"/>
    <mergeCell ref="F54:F55"/>
    <mergeCell ref="G54:G55"/>
    <mergeCell ref="A60:A61"/>
    <mergeCell ref="B60:B61"/>
    <mergeCell ref="C60:C61"/>
    <mergeCell ref="D60:D61"/>
    <mergeCell ref="E60:E61"/>
    <mergeCell ref="A58:A59"/>
    <mergeCell ref="B58:B59"/>
    <mergeCell ref="C58:C59"/>
    <mergeCell ref="D58:D59"/>
    <mergeCell ref="E58:E59"/>
    <mergeCell ref="F60:F61"/>
    <mergeCell ref="B52:B53"/>
  </mergeCells>
  <phoneticPr fontId="3"/>
  <printOptions horizontalCentered="1"/>
  <pageMargins left="0.31496062992125984" right="0.31496062992125984" top="0.74803149606299213" bottom="0.74803149606299213" header="0.31496062992125984" footer="0.31496062992125984"/>
  <pageSetup paperSize="8" scale="7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DEE4-069F-40DF-A388-B9B1D55EA490}">
  <sheetPr>
    <pageSetUpPr fitToPage="1"/>
  </sheetPr>
  <dimension ref="A1:AU120"/>
  <sheetViews>
    <sheetView tabSelected="1" topLeftCell="D1" zoomScale="94" zoomScaleNormal="94" workbookViewId="0">
      <selection activeCell="J68" sqref="J68"/>
    </sheetView>
  </sheetViews>
  <sheetFormatPr defaultColWidth="8.69921875" defaultRowHeight="15" outlineLevelRow="1"/>
  <cols>
    <col min="1" max="1" width="4.19921875" style="1" bestFit="1" customWidth="1"/>
    <col min="2" max="2" width="6.19921875" style="1" customWidth="1"/>
    <col min="3" max="3" width="5.19921875" style="1" customWidth="1"/>
    <col min="4" max="6" width="9.69921875" style="1" customWidth="1"/>
    <col min="7" max="7" width="10.19921875" style="1" bestFit="1" customWidth="1"/>
    <col min="8" max="8" width="10.69921875" style="1" customWidth="1"/>
    <col min="9" max="9" width="12.59765625" style="1" bestFit="1" customWidth="1"/>
    <col min="10" max="15" width="5.19921875" style="1" customWidth="1"/>
    <col min="16" max="16" width="5.19921875" style="223" customWidth="1"/>
    <col min="17" max="45" width="5.19921875" style="1" customWidth="1"/>
    <col min="46" max="46" width="8.69921875" style="1" customWidth="1"/>
    <col min="47" max="47" width="10.59765625" style="1" customWidth="1"/>
    <col min="48" max="16384" width="8.69921875" style="1"/>
  </cols>
  <sheetData>
    <row r="1" spans="1:45" ht="18.600000000000001">
      <c r="A1" s="320" t="s">
        <v>168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320"/>
      <c r="AS1" s="8"/>
    </row>
    <row r="2" spans="1:45" ht="15" customHeight="1">
      <c r="A2" s="2"/>
      <c r="K2" s="42"/>
      <c r="L2" s="42"/>
      <c r="M2" s="42"/>
      <c r="N2" s="42"/>
      <c r="X2" s="5"/>
      <c r="Y2" s="5"/>
      <c r="Z2" s="5"/>
      <c r="AA2" s="5"/>
      <c r="AB2" s="5"/>
      <c r="AC2" s="5"/>
      <c r="AD2" s="5"/>
      <c r="AP2" s="321">
        <f ca="1">TODAY()</f>
        <v>46177</v>
      </c>
      <c r="AQ2" s="321"/>
      <c r="AR2" s="321"/>
      <c r="AS2" s="105"/>
    </row>
    <row r="3" spans="1:45" ht="19.95" customHeight="1">
      <c r="A3" s="51" t="s">
        <v>53</v>
      </c>
      <c r="E3" s="2"/>
      <c r="F3" s="12"/>
      <c r="G3" s="12"/>
      <c r="H3" s="12"/>
      <c r="I3" s="12"/>
      <c r="J3" s="12"/>
      <c r="K3" s="5">
        <f>COUNTA(K6:K99)*0.5</f>
        <v>32</v>
      </c>
      <c r="L3" s="5"/>
      <c r="M3" s="5">
        <f t="shared" ref="M3:AR3" si="0">COUNTA(M6:M99)*0.5</f>
        <v>17.5</v>
      </c>
      <c r="N3" s="199" t="s">
        <v>222</v>
      </c>
      <c r="O3" s="198"/>
      <c r="P3" s="224"/>
      <c r="Q3" s="5">
        <f t="shared" si="0"/>
        <v>21</v>
      </c>
      <c r="R3" s="5">
        <f t="shared" si="0"/>
        <v>22.5</v>
      </c>
      <c r="S3" s="5">
        <f t="shared" si="0"/>
        <v>22.5</v>
      </c>
      <c r="T3" s="34" t="s">
        <v>79</v>
      </c>
      <c r="U3" s="5">
        <f t="shared" si="0"/>
        <v>20.5</v>
      </c>
      <c r="V3" s="5">
        <f t="shared" si="0"/>
        <v>19</v>
      </c>
      <c r="W3" s="5">
        <f t="shared" si="0"/>
        <v>20</v>
      </c>
      <c r="X3" s="5">
        <f t="shared" si="0"/>
        <v>19</v>
      </c>
      <c r="Y3" s="5">
        <f t="shared" si="0"/>
        <v>18.5</v>
      </c>
      <c r="Z3" s="5">
        <f t="shared" si="0"/>
        <v>18</v>
      </c>
      <c r="AA3" s="5">
        <f t="shared" si="0"/>
        <v>16</v>
      </c>
      <c r="AB3" s="5">
        <f t="shared" si="0"/>
        <v>17.5</v>
      </c>
      <c r="AC3" s="5">
        <f t="shared" si="0"/>
        <v>14</v>
      </c>
      <c r="AD3" s="5">
        <f t="shared" si="0"/>
        <v>16</v>
      </c>
      <c r="AE3" s="5">
        <f t="shared" si="0"/>
        <v>18</v>
      </c>
      <c r="AF3" s="5">
        <f t="shared" si="0"/>
        <v>15.5</v>
      </c>
      <c r="AG3" s="5">
        <f t="shared" si="0"/>
        <v>19</v>
      </c>
      <c r="AH3" s="5">
        <f t="shared" si="0"/>
        <v>12</v>
      </c>
      <c r="AI3" s="5">
        <f t="shared" si="0"/>
        <v>13</v>
      </c>
      <c r="AJ3" s="5">
        <f t="shared" si="0"/>
        <v>12</v>
      </c>
      <c r="AK3" s="5">
        <f t="shared" si="0"/>
        <v>9</v>
      </c>
      <c r="AL3" s="5">
        <f t="shared" si="0"/>
        <v>11</v>
      </c>
      <c r="AM3" s="5">
        <f t="shared" si="0"/>
        <v>19</v>
      </c>
      <c r="AN3" s="5">
        <f t="shared" si="0"/>
        <v>22</v>
      </c>
      <c r="AO3" s="5">
        <f t="shared" si="0"/>
        <v>4.5</v>
      </c>
      <c r="AP3" s="5">
        <f t="shared" si="0"/>
        <v>5</v>
      </c>
      <c r="AQ3" s="5">
        <f>COUNTA(AQ6:AQ99)*0.5</f>
        <v>5</v>
      </c>
      <c r="AR3" s="5">
        <f t="shared" si="0"/>
        <v>4</v>
      </c>
      <c r="AS3" s="5"/>
    </row>
    <row r="4" spans="1:45" ht="15" customHeight="1">
      <c r="A4" s="322" t="s">
        <v>0</v>
      </c>
      <c r="B4" s="322" t="s">
        <v>1</v>
      </c>
      <c r="C4" s="322" t="s">
        <v>2</v>
      </c>
      <c r="D4" s="322" t="s">
        <v>3</v>
      </c>
      <c r="E4" s="322" t="s">
        <v>4</v>
      </c>
      <c r="F4" s="322" t="s">
        <v>44</v>
      </c>
      <c r="G4" s="322" t="s">
        <v>5</v>
      </c>
      <c r="H4" s="322" t="s">
        <v>6</v>
      </c>
      <c r="I4" s="322" t="s">
        <v>7</v>
      </c>
      <c r="J4" s="13">
        <v>15</v>
      </c>
      <c r="K4" s="9">
        <v>16</v>
      </c>
      <c r="L4" s="56">
        <f t="shared" ref="L4:P4" si="1">K4+1</f>
        <v>17</v>
      </c>
      <c r="M4" s="57">
        <f t="shared" si="1"/>
        <v>18</v>
      </c>
      <c r="N4" s="13">
        <f t="shared" si="1"/>
        <v>19</v>
      </c>
      <c r="O4" s="13">
        <f t="shared" si="1"/>
        <v>20</v>
      </c>
      <c r="P4" s="200">
        <f t="shared" si="1"/>
        <v>21</v>
      </c>
      <c r="Q4" s="9">
        <f t="shared" ref="Q4:AS4" si="2">P4+1</f>
        <v>22</v>
      </c>
      <c r="R4" s="9">
        <f t="shared" si="2"/>
        <v>23</v>
      </c>
      <c r="S4" s="9">
        <f t="shared" si="2"/>
        <v>24</v>
      </c>
      <c r="T4" s="201">
        <f t="shared" si="2"/>
        <v>25</v>
      </c>
      <c r="U4" s="9">
        <f t="shared" si="2"/>
        <v>26</v>
      </c>
      <c r="V4" s="9">
        <f t="shared" si="2"/>
        <v>27</v>
      </c>
      <c r="W4" s="9">
        <f t="shared" si="2"/>
        <v>28</v>
      </c>
      <c r="X4" s="9">
        <f t="shared" si="2"/>
        <v>29</v>
      </c>
      <c r="Y4" s="9">
        <f t="shared" si="2"/>
        <v>30</v>
      </c>
      <c r="Z4" s="9">
        <f t="shared" si="2"/>
        <v>31</v>
      </c>
      <c r="AA4" s="9">
        <v>1</v>
      </c>
      <c r="AB4" s="13">
        <f t="shared" si="2"/>
        <v>2</v>
      </c>
      <c r="AC4" s="9">
        <f t="shared" si="2"/>
        <v>3</v>
      </c>
      <c r="AD4" s="9">
        <f t="shared" si="2"/>
        <v>4</v>
      </c>
      <c r="AE4" s="9">
        <f t="shared" si="2"/>
        <v>5</v>
      </c>
      <c r="AF4" s="9">
        <f t="shared" si="2"/>
        <v>6</v>
      </c>
      <c r="AG4" s="9">
        <f t="shared" si="2"/>
        <v>7</v>
      </c>
      <c r="AH4" s="9">
        <f t="shared" si="2"/>
        <v>8</v>
      </c>
      <c r="AI4" s="9">
        <f t="shared" si="2"/>
        <v>9</v>
      </c>
      <c r="AJ4" s="9">
        <f t="shared" si="2"/>
        <v>10</v>
      </c>
      <c r="AK4" s="9">
        <f t="shared" si="2"/>
        <v>11</v>
      </c>
      <c r="AL4" s="9">
        <f t="shared" si="2"/>
        <v>12</v>
      </c>
      <c r="AM4" s="9">
        <f t="shared" si="2"/>
        <v>13</v>
      </c>
      <c r="AN4" s="9">
        <f t="shared" si="2"/>
        <v>14</v>
      </c>
      <c r="AO4" s="9">
        <f t="shared" si="2"/>
        <v>15</v>
      </c>
      <c r="AP4" s="9">
        <f t="shared" ref="AP4" si="3">AO4+1</f>
        <v>16</v>
      </c>
      <c r="AQ4" s="56">
        <f t="shared" ref="AQ4" si="4">AP4+1</f>
        <v>17</v>
      </c>
      <c r="AR4" s="57">
        <f t="shared" ref="AR4" si="5">AQ4+1</f>
        <v>18</v>
      </c>
      <c r="AS4" s="9">
        <f t="shared" si="2"/>
        <v>19</v>
      </c>
    </row>
    <row r="5" spans="1:45" ht="15" customHeight="1" thickBot="1">
      <c r="A5" s="322"/>
      <c r="B5" s="322"/>
      <c r="C5" s="322"/>
      <c r="D5" s="322"/>
      <c r="E5" s="322"/>
      <c r="F5" s="322"/>
      <c r="G5" s="322"/>
      <c r="H5" s="322"/>
      <c r="I5" s="323"/>
      <c r="J5" s="30" t="s">
        <v>34</v>
      </c>
      <c r="K5" s="31" t="s">
        <v>28</v>
      </c>
      <c r="L5" s="71" t="s">
        <v>29</v>
      </c>
      <c r="M5" s="59" t="s">
        <v>30</v>
      </c>
      <c r="N5" s="30" t="s">
        <v>31</v>
      </c>
      <c r="O5" s="30" t="s">
        <v>32</v>
      </c>
      <c r="P5" s="225" t="s">
        <v>33</v>
      </c>
      <c r="Q5" s="30" t="s">
        <v>34</v>
      </c>
      <c r="R5" s="31" t="s">
        <v>28</v>
      </c>
      <c r="S5" s="32" t="s">
        <v>29</v>
      </c>
      <c r="T5" s="30" t="s">
        <v>30</v>
      </c>
      <c r="U5" s="30" t="s">
        <v>31</v>
      </c>
      <c r="V5" s="30" t="s">
        <v>32</v>
      </c>
      <c r="W5" s="30" t="s">
        <v>33</v>
      </c>
      <c r="X5" s="30" t="s">
        <v>34</v>
      </c>
      <c r="Y5" s="31" t="s">
        <v>28</v>
      </c>
      <c r="Z5" s="32" t="s">
        <v>29</v>
      </c>
      <c r="AA5" s="30" t="s">
        <v>30</v>
      </c>
      <c r="AB5" s="30" t="s">
        <v>31</v>
      </c>
      <c r="AC5" s="30" t="s">
        <v>32</v>
      </c>
      <c r="AD5" s="30" t="s">
        <v>33</v>
      </c>
      <c r="AE5" s="30" t="s">
        <v>34</v>
      </c>
      <c r="AF5" s="31" t="s">
        <v>28</v>
      </c>
      <c r="AG5" s="32" t="s">
        <v>29</v>
      </c>
      <c r="AH5" s="30" t="s">
        <v>30</v>
      </c>
      <c r="AI5" s="30" t="s">
        <v>31</v>
      </c>
      <c r="AJ5" s="30" t="s">
        <v>32</v>
      </c>
      <c r="AK5" s="30" t="s">
        <v>33</v>
      </c>
      <c r="AL5" s="30" t="s">
        <v>34</v>
      </c>
      <c r="AM5" s="31" t="s">
        <v>28</v>
      </c>
      <c r="AN5" s="32" t="s">
        <v>29</v>
      </c>
      <c r="AO5" s="30" t="s">
        <v>30</v>
      </c>
      <c r="AP5" s="30" t="s">
        <v>31</v>
      </c>
      <c r="AQ5" s="58" t="s">
        <v>32</v>
      </c>
      <c r="AR5" s="59" t="s">
        <v>33</v>
      </c>
      <c r="AS5" s="30" t="s">
        <v>34</v>
      </c>
    </row>
    <row r="6" spans="1:45" hidden="1">
      <c r="A6" s="292">
        <v>67</v>
      </c>
      <c r="B6" s="292">
        <v>2</v>
      </c>
      <c r="C6" s="292">
        <v>4</v>
      </c>
      <c r="D6" s="292"/>
      <c r="E6" s="292"/>
      <c r="F6" s="292"/>
      <c r="G6" s="292">
        <v>20252468</v>
      </c>
      <c r="H6" s="292" t="s">
        <v>99</v>
      </c>
      <c r="I6" s="292" t="s">
        <v>106</v>
      </c>
      <c r="J6" s="7"/>
      <c r="K6" s="11"/>
      <c r="L6" s="61"/>
      <c r="M6" s="60"/>
      <c r="N6" s="11"/>
      <c r="O6" s="62"/>
      <c r="P6" s="22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61"/>
      <c r="AR6" s="60"/>
      <c r="AS6" s="62"/>
    </row>
    <row r="7" spans="1:45" hidden="1">
      <c r="A7" s="293"/>
      <c r="B7" s="293"/>
      <c r="C7" s="293"/>
      <c r="D7" s="293"/>
      <c r="E7" s="293"/>
      <c r="F7" s="293"/>
      <c r="G7" s="293"/>
      <c r="H7" s="293"/>
      <c r="I7" s="293"/>
      <c r="J7" s="182"/>
      <c r="K7" s="11"/>
      <c r="L7" s="10"/>
      <c r="M7" s="60"/>
      <c r="N7" s="11"/>
      <c r="O7" s="62"/>
      <c r="P7" s="226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61"/>
      <c r="AR7" s="60"/>
      <c r="AS7" s="62"/>
    </row>
    <row r="8" spans="1:45" hidden="1">
      <c r="A8" s="292">
        <v>68</v>
      </c>
      <c r="B8" s="292">
        <v>3</v>
      </c>
      <c r="C8" s="292">
        <v>5</v>
      </c>
      <c r="D8" s="292"/>
      <c r="E8" s="292"/>
      <c r="F8" s="292"/>
      <c r="G8" s="292">
        <v>20252470</v>
      </c>
      <c r="H8" s="292" t="s">
        <v>100</v>
      </c>
      <c r="I8" s="292" t="s">
        <v>105</v>
      </c>
      <c r="J8" s="7"/>
      <c r="K8" s="11"/>
      <c r="L8" s="61"/>
      <c r="M8" s="60"/>
      <c r="N8" s="11"/>
      <c r="O8" s="62"/>
      <c r="P8" s="226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61"/>
      <c r="AR8" s="60"/>
      <c r="AS8" s="62"/>
    </row>
    <row r="9" spans="1:45" hidden="1">
      <c r="A9" s="293"/>
      <c r="B9" s="293"/>
      <c r="C9" s="293"/>
      <c r="D9" s="293"/>
      <c r="E9" s="293"/>
      <c r="F9" s="293"/>
      <c r="G9" s="293"/>
      <c r="H9" s="293"/>
      <c r="I9" s="293"/>
      <c r="J9" s="182"/>
      <c r="K9" s="11"/>
      <c r="L9" s="10"/>
      <c r="M9" s="60"/>
      <c r="N9" s="11"/>
      <c r="O9" s="62"/>
      <c r="P9" s="226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61"/>
      <c r="AR9" s="60"/>
      <c r="AS9" s="62"/>
    </row>
    <row r="10" spans="1:45" hidden="1">
      <c r="A10" s="292">
        <v>69</v>
      </c>
      <c r="B10" s="292">
        <v>4</v>
      </c>
      <c r="C10" s="292">
        <v>8</v>
      </c>
      <c r="D10" s="292"/>
      <c r="E10" s="292"/>
      <c r="F10" s="292"/>
      <c r="G10" s="292">
        <v>20252474</v>
      </c>
      <c r="H10" s="292" t="s">
        <v>101</v>
      </c>
      <c r="I10" s="292" t="s">
        <v>104</v>
      </c>
      <c r="J10" s="7"/>
      <c r="K10" s="11"/>
      <c r="L10" s="61"/>
      <c r="M10" s="60"/>
      <c r="N10" s="11"/>
      <c r="O10" s="62"/>
      <c r="P10" s="226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61"/>
      <c r="AR10" s="60"/>
      <c r="AS10" s="62"/>
    </row>
    <row r="11" spans="1:45" hidden="1">
      <c r="A11" s="293"/>
      <c r="B11" s="293"/>
      <c r="C11" s="293"/>
      <c r="D11" s="293"/>
      <c r="E11" s="293"/>
      <c r="F11" s="293"/>
      <c r="G11" s="293"/>
      <c r="H11" s="293"/>
      <c r="I11" s="293"/>
      <c r="J11" s="182"/>
      <c r="K11" s="11"/>
      <c r="L11" s="10"/>
      <c r="M11" s="60"/>
      <c r="N11" s="11"/>
      <c r="O11" s="62"/>
      <c r="P11" s="226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61"/>
      <c r="AR11" s="60"/>
      <c r="AS11" s="62"/>
    </row>
    <row r="12" spans="1:45" hidden="1">
      <c r="A12" s="292">
        <v>70</v>
      </c>
      <c r="B12" s="292">
        <v>1</v>
      </c>
      <c r="C12" s="292">
        <v>2</v>
      </c>
      <c r="D12" s="292"/>
      <c r="E12" s="292"/>
      <c r="F12" s="292"/>
      <c r="G12" s="292">
        <v>20252477</v>
      </c>
      <c r="H12" s="292" t="s">
        <v>102</v>
      </c>
      <c r="I12" s="292" t="s">
        <v>107</v>
      </c>
      <c r="J12" s="7"/>
      <c r="K12" s="11"/>
      <c r="L12" s="61"/>
      <c r="M12" s="60"/>
      <c r="N12" s="11"/>
      <c r="O12" s="62"/>
      <c r="P12" s="226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61"/>
      <c r="AR12" s="60"/>
      <c r="AS12" s="62"/>
    </row>
    <row r="13" spans="1:45" hidden="1">
      <c r="A13" s="293"/>
      <c r="B13" s="293"/>
      <c r="C13" s="293"/>
      <c r="D13" s="293"/>
      <c r="E13" s="293"/>
      <c r="F13" s="293"/>
      <c r="G13" s="293"/>
      <c r="H13" s="293"/>
      <c r="I13" s="293"/>
      <c r="J13" s="182"/>
      <c r="K13" s="11"/>
      <c r="L13" s="10"/>
      <c r="M13" s="60"/>
      <c r="N13" s="11"/>
      <c r="O13" s="62"/>
      <c r="P13" s="226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61"/>
      <c r="AR13" s="60"/>
      <c r="AS13" s="62"/>
    </row>
    <row r="14" spans="1:45" hidden="1">
      <c r="A14" s="292">
        <v>78</v>
      </c>
      <c r="B14" s="292"/>
      <c r="C14" s="292"/>
      <c r="D14" s="292"/>
      <c r="F14" s="292"/>
      <c r="G14" s="292"/>
      <c r="H14" s="292"/>
      <c r="I14" s="292"/>
      <c r="J14" s="7"/>
      <c r="K14" s="11"/>
      <c r="L14" s="61"/>
      <c r="M14" s="60"/>
      <c r="N14" s="11"/>
      <c r="O14" s="62"/>
      <c r="P14" s="226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61"/>
      <c r="AR14" s="60"/>
      <c r="AS14" s="62"/>
    </row>
    <row r="15" spans="1:45" hidden="1">
      <c r="A15" s="293"/>
      <c r="B15" s="293"/>
      <c r="C15" s="293"/>
      <c r="D15" s="293"/>
      <c r="F15" s="293"/>
      <c r="G15" s="293"/>
      <c r="H15" s="293"/>
      <c r="I15" s="293"/>
      <c r="J15" s="182"/>
      <c r="K15" s="11"/>
      <c r="L15" s="10"/>
      <c r="M15" s="60"/>
      <c r="N15" s="11"/>
      <c r="O15" s="62"/>
      <c r="P15" s="226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61"/>
      <c r="AR15" s="60"/>
      <c r="AS15" s="62"/>
    </row>
    <row r="16" spans="1:45" hidden="1">
      <c r="A16" s="292">
        <v>79</v>
      </c>
      <c r="B16" s="292">
        <v>1</v>
      </c>
      <c r="C16" s="292"/>
      <c r="D16" s="292"/>
      <c r="E16" s="292"/>
      <c r="F16" s="292"/>
      <c r="G16" s="292">
        <v>20262046</v>
      </c>
      <c r="H16" s="292" t="s">
        <v>133</v>
      </c>
      <c r="I16" s="292" t="s">
        <v>136</v>
      </c>
      <c r="J16" s="7"/>
      <c r="K16" s="11"/>
      <c r="L16" s="61"/>
      <c r="M16" s="60"/>
      <c r="N16" s="11"/>
      <c r="O16" s="62"/>
      <c r="P16" s="22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61"/>
      <c r="AR16" s="60"/>
      <c r="AS16" s="62"/>
    </row>
    <row r="17" spans="1:45" hidden="1">
      <c r="A17" s="293"/>
      <c r="B17" s="293"/>
      <c r="C17" s="293"/>
      <c r="D17" s="293"/>
      <c r="E17" s="293"/>
      <c r="F17" s="293"/>
      <c r="G17" s="293"/>
      <c r="H17" s="293"/>
      <c r="I17" s="293"/>
      <c r="J17" s="182"/>
      <c r="K17" s="11"/>
      <c r="L17" s="61"/>
      <c r="M17" s="60"/>
      <c r="N17" s="11"/>
      <c r="O17" s="62"/>
      <c r="P17" s="226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61"/>
      <c r="AR17" s="60"/>
      <c r="AS17" s="62"/>
    </row>
    <row r="18" spans="1:45" hidden="1">
      <c r="A18" s="292">
        <v>80</v>
      </c>
      <c r="B18" s="292">
        <v>2</v>
      </c>
      <c r="C18" s="292">
        <v>3</v>
      </c>
      <c r="D18" s="292"/>
      <c r="E18" s="292"/>
      <c r="F18" s="292"/>
      <c r="G18" s="292">
        <v>20262051</v>
      </c>
      <c r="H18" s="292" t="s">
        <v>134</v>
      </c>
      <c r="I18" s="292" t="s">
        <v>137</v>
      </c>
      <c r="J18" s="7"/>
      <c r="K18" s="22" t="s">
        <v>8</v>
      </c>
      <c r="L18" s="61"/>
      <c r="M18" s="60"/>
      <c r="N18" s="11"/>
      <c r="O18" s="62"/>
      <c r="P18" s="22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61"/>
      <c r="AR18" s="60"/>
      <c r="AS18" s="62"/>
    </row>
    <row r="19" spans="1:45" hidden="1">
      <c r="A19" s="293"/>
      <c r="B19" s="293"/>
      <c r="C19" s="293"/>
      <c r="D19" s="293"/>
      <c r="E19" s="293"/>
      <c r="F19" s="293"/>
      <c r="G19" s="293"/>
      <c r="H19" s="293"/>
      <c r="I19" s="293"/>
      <c r="J19" s="182"/>
      <c r="K19" s="34" t="s">
        <v>79</v>
      </c>
      <c r="L19" s="61"/>
      <c r="M19" s="60"/>
      <c r="N19" s="11"/>
      <c r="O19" s="62"/>
      <c r="P19" s="226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61"/>
      <c r="AR19" s="60"/>
      <c r="AS19" s="62"/>
    </row>
    <row r="20" spans="1:45" hidden="1">
      <c r="A20" s="292">
        <v>81</v>
      </c>
      <c r="B20" s="292">
        <v>4</v>
      </c>
      <c r="C20" s="292">
        <v>7</v>
      </c>
      <c r="D20" s="292"/>
      <c r="E20" s="292"/>
      <c r="F20" s="292"/>
      <c r="G20" s="292">
        <v>20262057</v>
      </c>
      <c r="H20" s="292" t="s">
        <v>135</v>
      </c>
      <c r="I20" s="292" t="s">
        <v>138</v>
      </c>
      <c r="J20" s="65"/>
      <c r="K20" s="62" t="s">
        <v>11</v>
      </c>
      <c r="L20" s="67" t="s">
        <v>78</v>
      </c>
      <c r="M20" s="63" t="s">
        <v>8</v>
      </c>
      <c r="N20" s="11"/>
      <c r="O20" s="62"/>
      <c r="P20" s="226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61"/>
      <c r="AR20" s="60"/>
      <c r="AS20" s="62"/>
    </row>
    <row r="21" spans="1:45" hidden="1">
      <c r="A21" s="293"/>
      <c r="B21" s="293"/>
      <c r="C21" s="293"/>
      <c r="D21" s="293"/>
      <c r="E21" s="293"/>
      <c r="F21" s="293"/>
      <c r="G21" s="293"/>
      <c r="H21" s="293"/>
      <c r="I21" s="293"/>
      <c r="J21" s="184"/>
      <c r="K21" s="62" t="s">
        <v>11</v>
      </c>
      <c r="L21" s="67" t="s">
        <v>78</v>
      </c>
      <c r="M21" s="113" t="s">
        <v>79</v>
      </c>
      <c r="N21" s="11"/>
      <c r="O21" s="62"/>
      <c r="P21" s="226"/>
      <c r="Q21" s="11"/>
      <c r="R21" s="114" t="s">
        <v>92</v>
      </c>
      <c r="S21" s="114" t="s">
        <v>92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61"/>
      <c r="AR21" s="60"/>
      <c r="AS21" s="62"/>
    </row>
    <row r="22" spans="1:45" hidden="1">
      <c r="A22" s="292">
        <v>82</v>
      </c>
      <c r="B22" s="292">
        <v>1</v>
      </c>
      <c r="C22" s="292"/>
      <c r="D22" s="292"/>
      <c r="E22" s="292"/>
      <c r="F22" s="292"/>
      <c r="G22" s="292">
        <v>20262061</v>
      </c>
      <c r="H22" s="292" t="s">
        <v>142</v>
      </c>
      <c r="I22" s="292"/>
      <c r="J22" s="7"/>
      <c r="K22" s="11"/>
      <c r="L22" s="61"/>
      <c r="M22" s="95"/>
      <c r="N22" s="11"/>
      <c r="O22" s="62"/>
      <c r="P22" s="226"/>
      <c r="Q22" s="28" t="s">
        <v>78</v>
      </c>
      <c r="R22" s="38" t="s">
        <v>47</v>
      </c>
      <c r="S22" s="38" t="s">
        <v>47</v>
      </c>
      <c r="T22" s="22" t="s">
        <v>8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61"/>
      <c r="AR22" s="60"/>
      <c r="AS22" s="62"/>
    </row>
    <row r="23" spans="1:45" hidden="1">
      <c r="A23" s="293"/>
      <c r="B23" s="293"/>
      <c r="C23" s="293"/>
      <c r="D23" s="293"/>
      <c r="E23" s="293"/>
      <c r="F23" s="293"/>
      <c r="G23" s="293"/>
      <c r="H23" s="293"/>
      <c r="I23" s="293"/>
      <c r="J23" s="182"/>
      <c r="K23" s="11"/>
      <c r="L23" s="61"/>
      <c r="M23" s="95" t="s">
        <v>37</v>
      </c>
      <c r="N23" s="11"/>
      <c r="O23" s="62"/>
      <c r="P23" s="226"/>
      <c r="Q23" s="28" t="s">
        <v>78</v>
      </c>
      <c r="R23" s="25" t="s">
        <v>15</v>
      </c>
      <c r="S23" s="25" t="s">
        <v>15</v>
      </c>
      <c r="T23" s="34" t="s">
        <v>79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61"/>
      <c r="AR23" s="60"/>
      <c r="AS23" s="62"/>
    </row>
    <row r="24" spans="1:45" hidden="1">
      <c r="A24" s="292">
        <v>83</v>
      </c>
      <c r="B24" s="292">
        <v>2</v>
      </c>
      <c r="C24" s="292">
        <v>3</v>
      </c>
      <c r="D24" s="292"/>
      <c r="E24" s="292"/>
      <c r="F24" s="292"/>
      <c r="G24" s="292">
        <v>20262061</v>
      </c>
      <c r="H24" s="292" t="s">
        <v>143</v>
      </c>
      <c r="I24" s="292"/>
      <c r="J24" s="7"/>
      <c r="K24" s="11"/>
      <c r="L24" s="61"/>
      <c r="M24" s="60"/>
      <c r="N24" s="11"/>
      <c r="O24" s="62"/>
      <c r="P24" s="226"/>
      <c r="Q24" s="62" t="s">
        <v>11</v>
      </c>
      <c r="R24" s="11"/>
      <c r="S24" s="11"/>
      <c r="T24" s="11"/>
      <c r="U24" s="95"/>
      <c r="V24" s="62" t="s">
        <v>11</v>
      </c>
      <c r="W24" s="74"/>
      <c r="X24" s="74"/>
      <c r="Y24" s="74"/>
      <c r="Z24" s="74"/>
      <c r="AA24" s="74"/>
      <c r="AB24" s="74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61"/>
      <c r="AR24" s="60"/>
      <c r="AS24" s="62"/>
    </row>
    <row r="25" spans="1:45" hidden="1">
      <c r="A25" s="293"/>
      <c r="B25" s="293"/>
      <c r="C25" s="293"/>
      <c r="D25" s="293"/>
      <c r="E25" s="293"/>
      <c r="F25" s="293"/>
      <c r="G25" s="293"/>
      <c r="H25" s="293"/>
      <c r="I25" s="293"/>
      <c r="J25" s="182"/>
      <c r="K25" s="11"/>
      <c r="L25" s="10"/>
      <c r="M25" s="60"/>
      <c r="N25" s="11"/>
      <c r="O25" s="62"/>
      <c r="P25" s="226"/>
      <c r="Q25" s="62" t="s">
        <v>11</v>
      </c>
      <c r="R25" s="11"/>
      <c r="S25" s="11"/>
      <c r="T25" s="11"/>
      <c r="U25" s="95" t="s">
        <v>37</v>
      </c>
      <c r="V25" s="62" t="s">
        <v>11</v>
      </c>
      <c r="W25" s="74"/>
      <c r="X25" s="74"/>
      <c r="Y25" s="74"/>
      <c r="Z25" s="74"/>
      <c r="AA25" s="74"/>
      <c r="AB25" s="74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61"/>
      <c r="AR25" s="60"/>
      <c r="AS25" s="62"/>
    </row>
    <row r="26" spans="1:45" hidden="1">
      <c r="A26" s="292">
        <v>84</v>
      </c>
      <c r="B26" s="292"/>
      <c r="C26" s="292"/>
      <c r="D26" s="292"/>
      <c r="E26" s="292"/>
      <c r="F26" s="292"/>
      <c r="G26" s="292">
        <v>20262098</v>
      </c>
      <c r="H26" s="292" t="s">
        <v>152</v>
      </c>
      <c r="I26" s="292" t="s">
        <v>153</v>
      </c>
      <c r="J26" s="7"/>
      <c r="K26" s="11"/>
      <c r="L26" s="61"/>
      <c r="M26" s="60"/>
      <c r="N26" s="11"/>
      <c r="O26" s="62"/>
      <c r="P26" s="226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61"/>
      <c r="AR26" s="60"/>
      <c r="AS26" s="62"/>
    </row>
    <row r="27" spans="1:45" hidden="1">
      <c r="A27" s="293"/>
      <c r="B27" s="293"/>
      <c r="C27" s="293"/>
      <c r="D27" s="293"/>
      <c r="E27" s="293"/>
      <c r="F27" s="293"/>
      <c r="G27" s="293"/>
      <c r="H27" s="293"/>
      <c r="I27" s="293"/>
      <c r="J27" s="182"/>
      <c r="K27" s="11"/>
      <c r="L27" s="10"/>
      <c r="M27" s="60"/>
      <c r="N27" s="11"/>
      <c r="O27" s="62"/>
      <c r="P27" s="22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61"/>
      <c r="AR27" s="60"/>
      <c r="AS27" s="62"/>
    </row>
    <row r="28" spans="1:45" hidden="1">
      <c r="A28" s="292">
        <v>85</v>
      </c>
      <c r="B28" s="292">
        <v>3</v>
      </c>
      <c r="C28" s="292">
        <v>6</v>
      </c>
      <c r="D28" s="294">
        <v>46118</v>
      </c>
      <c r="E28" s="292"/>
      <c r="F28" s="292">
        <v>378</v>
      </c>
      <c r="G28" s="292">
        <v>20262090</v>
      </c>
      <c r="H28" s="292" t="s">
        <v>154</v>
      </c>
      <c r="I28" s="292" t="s">
        <v>155</v>
      </c>
      <c r="J28" s="7"/>
      <c r="K28" s="22" t="s">
        <v>8</v>
      </c>
      <c r="L28" s="61"/>
      <c r="M28" s="60"/>
      <c r="N28" s="11"/>
      <c r="O28" s="62"/>
      <c r="P28" s="22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61"/>
      <c r="AR28" s="60"/>
      <c r="AS28" s="62"/>
    </row>
    <row r="29" spans="1:45" hidden="1">
      <c r="A29" s="293"/>
      <c r="B29" s="293"/>
      <c r="C29" s="293"/>
      <c r="D29" s="293"/>
      <c r="E29" s="293"/>
      <c r="F29" s="293"/>
      <c r="G29" s="293"/>
      <c r="H29" s="293"/>
      <c r="I29" s="293"/>
      <c r="J29" s="182"/>
      <c r="K29" s="34" t="s">
        <v>79</v>
      </c>
      <c r="L29" s="10"/>
      <c r="M29" s="60"/>
      <c r="N29" s="11"/>
      <c r="O29" s="62"/>
      <c r="P29" s="226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61"/>
      <c r="AR29" s="60"/>
      <c r="AS29" s="62"/>
    </row>
    <row r="30" spans="1:45" hidden="1">
      <c r="A30" s="292">
        <v>1</v>
      </c>
      <c r="B30" s="292"/>
      <c r="C30" s="292"/>
      <c r="D30" s="292"/>
      <c r="E30" s="292"/>
      <c r="F30" s="292"/>
      <c r="G30" s="292">
        <v>20262111</v>
      </c>
      <c r="H30" s="292" t="s">
        <v>156</v>
      </c>
      <c r="I30" s="292" t="s">
        <v>157</v>
      </c>
      <c r="J30" s="7"/>
      <c r="K30" s="11"/>
      <c r="L30" s="61"/>
      <c r="M30" s="62" t="s">
        <v>11</v>
      </c>
      <c r="N30" s="11"/>
      <c r="O30" s="62"/>
      <c r="P30" s="226"/>
      <c r="Q30" s="115" t="s">
        <v>79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61"/>
      <c r="AR30" s="60"/>
      <c r="AS30" s="62"/>
    </row>
    <row r="31" spans="1:45" hidden="1">
      <c r="A31" s="293"/>
      <c r="B31" s="293"/>
      <c r="C31" s="293"/>
      <c r="D31" s="293"/>
      <c r="E31" s="293"/>
      <c r="F31" s="293"/>
      <c r="G31" s="293"/>
      <c r="H31" s="293"/>
      <c r="I31" s="293"/>
      <c r="J31" s="182"/>
      <c r="K31" s="11"/>
      <c r="L31" s="61"/>
      <c r="M31" s="62" t="s">
        <v>11</v>
      </c>
      <c r="N31" s="11"/>
      <c r="O31" s="62"/>
      <c r="P31" s="226"/>
      <c r="Q31" s="39" t="s">
        <v>37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61"/>
      <c r="AR31" s="60"/>
      <c r="AS31" s="62"/>
    </row>
    <row r="32" spans="1:45" hidden="1">
      <c r="A32" s="292">
        <v>2</v>
      </c>
      <c r="B32" s="292"/>
      <c r="C32" s="292"/>
      <c r="D32" s="292"/>
      <c r="E32" s="292"/>
      <c r="F32" s="292"/>
      <c r="G32" s="292">
        <v>20262129</v>
      </c>
      <c r="H32" s="292" t="s">
        <v>163</v>
      </c>
      <c r="I32" s="292" t="s">
        <v>166</v>
      </c>
      <c r="J32" s="7"/>
      <c r="K32" s="11"/>
      <c r="L32" s="61"/>
      <c r="M32" s="60" t="s">
        <v>11</v>
      </c>
      <c r="N32" s="11"/>
      <c r="O32" s="62"/>
      <c r="P32" s="226"/>
      <c r="Q32" s="62"/>
      <c r="R32" s="11"/>
      <c r="S32" s="11"/>
      <c r="T32" s="62" t="s">
        <v>11</v>
      </c>
      <c r="U32" s="62" t="s">
        <v>11</v>
      </c>
      <c r="V32" s="11"/>
      <c r="W32" s="115" t="s">
        <v>79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61"/>
      <c r="AR32" s="60"/>
      <c r="AS32" s="62"/>
    </row>
    <row r="33" spans="1:45" hidden="1">
      <c r="A33" s="293"/>
      <c r="B33" s="293"/>
      <c r="C33" s="293"/>
      <c r="D33" s="293"/>
      <c r="E33" s="293"/>
      <c r="F33" s="293"/>
      <c r="G33" s="293"/>
      <c r="H33" s="293"/>
      <c r="I33" s="293"/>
      <c r="J33" s="182"/>
      <c r="K33" s="11"/>
      <c r="L33" s="61"/>
      <c r="M33" s="60" t="s">
        <v>11</v>
      </c>
      <c r="N33" s="11"/>
      <c r="O33" s="62"/>
      <c r="P33" s="226"/>
      <c r="Q33" s="62"/>
      <c r="R33" s="11"/>
      <c r="S33" s="11"/>
      <c r="T33" s="62" t="s">
        <v>11</v>
      </c>
      <c r="U33" s="62" t="s">
        <v>11</v>
      </c>
      <c r="V33" s="11"/>
      <c r="W33" s="39" t="s">
        <v>37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61"/>
      <c r="AR33" s="60"/>
      <c r="AS33" s="62"/>
    </row>
    <row r="34" spans="1:45" hidden="1">
      <c r="A34" s="292">
        <v>3</v>
      </c>
      <c r="B34" s="292">
        <v>3</v>
      </c>
      <c r="C34" s="292"/>
      <c r="D34" s="292"/>
      <c r="E34" s="292"/>
      <c r="F34" s="292">
        <v>134</v>
      </c>
      <c r="G34" s="335">
        <v>20262132</v>
      </c>
      <c r="H34" s="335" t="s">
        <v>164</v>
      </c>
      <c r="I34" s="335" t="s">
        <v>165</v>
      </c>
      <c r="J34" s="115" t="s">
        <v>249</v>
      </c>
      <c r="K34" s="62" t="s">
        <v>11</v>
      </c>
      <c r="L34" s="61" t="s">
        <v>11</v>
      </c>
      <c r="M34" s="219" t="s">
        <v>78</v>
      </c>
      <c r="N34" s="143" t="s">
        <v>78</v>
      </c>
      <c r="O34" s="15" t="s">
        <v>16</v>
      </c>
      <c r="P34" s="141" t="s">
        <v>47</v>
      </c>
      <c r="Q34" s="62" t="s">
        <v>11</v>
      </c>
      <c r="R34" s="62" t="s">
        <v>11</v>
      </c>
      <c r="S34" s="62" t="s">
        <v>11</v>
      </c>
      <c r="T34" s="22" t="s">
        <v>8</v>
      </c>
      <c r="U34" s="11"/>
      <c r="V34" s="11"/>
      <c r="W34" s="11"/>
      <c r="X34" s="62"/>
      <c r="Y34" s="11"/>
      <c r="Z34" s="11"/>
      <c r="AA34" s="62"/>
      <c r="AB34" s="62"/>
      <c r="AC34" s="62"/>
      <c r="AD34" s="62"/>
      <c r="AE34" s="62"/>
      <c r="AF34" s="11"/>
      <c r="AG34" s="62"/>
      <c r="AH34" s="62"/>
      <c r="AI34" s="62"/>
      <c r="AJ34" s="62"/>
      <c r="AK34" s="62"/>
      <c r="AL34" s="62"/>
      <c r="AM34" s="62"/>
      <c r="AN34" s="62"/>
      <c r="AO34" s="11"/>
      <c r="AP34" s="11"/>
      <c r="AQ34" s="61"/>
      <c r="AR34" s="60"/>
      <c r="AS34" s="62"/>
    </row>
    <row r="35" spans="1:45" hidden="1">
      <c r="A35" s="293"/>
      <c r="B35" s="293"/>
      <c r="C35" s="293"/>
      <c r="D35" s="293"/>
      <c r="E35" s="293"/>
      <c r="F35" s="293"/>
      <c r="G35" s="336"/>
      <c r="H35" s="336"/>
      <c r="I35" s="336"/>
      <c r="J35" s="39" t="s">
        <v>37</v>
      </c>
      <c r="K35" s="62" t="s">
        <v>11</v>
      </c>
      <c r="L35" s="61" t="s">
        <v>11</v>
      </c>
      <c r="M35" s="220" t="s">
        <v>253</v>
      </c>
      <c r="N35" s="232" t="s">
        <v>57</v>
      </c>
      <c r="O35" s="20" t="s">
        <v>13</v>
      </c>
      <c r="P35" s="25" t="s">
        <v>15</v>
      </c>
      <c r="Q35" s="62" t="s">
        <v>11</v>
      </c>
      <c r="R35" s="62" t="s">
        <v>11</v>
      </c>
      <c r="S35" s="62" t="s">
        <v>11</v>
      </c>
      <c r="T35" s="34" t="s">
        <v>93</v>
      </c>
      <c r="U35" s="11"/>
      <c r="V35" s="11"/>
      <c r="W35" s="11"/>
      <c r="X35" s="62"/>
      <c r="Y35" s="11"/>
      <c r="Z35" s="11"/>
      <c r="AA35" s="62"/>
      <c r="AB35" s="62"/>
      <c r="AC35" s="62"/>
      <c r="AD35" s="62"/>
      <c r="AE35" s="62"/>
      <c r="AF35" s="11"/>
      <c r="AG35" s="62"/>
      <c r="AH35" s="62"/>
      <c r="AI35" s="62"/>
      <c r="AJ35" s="62"/>
      <c r="AK35" s="62"/>
      <c r="AL35" s="62"/>
      <c r="AM35" s="62"/>
      <c r="AN35" s="62"/>
      <c r="AO35" s="11"/>
      <c r="AP35" s="11"/>
      <c r="AQ35" s="61"/>
      <c r="AR35" s="60"/>
      <c r="AS35" s="62"/>
    </row>
    <row r="36" spans="1:45" hidden="1">
      <c r="A36" s="292">
        <v>4</v>
      </c>
      <c r="B36" s="292">
        <v>2</v>
      </c>
      <c r="C36" s="292"/>
      <c r="D36" s="292"/>
      <c r="E36" s="292"/>
      <c r="F36" s="292">
        <v>263</v>
      </c>
      <c r="G36" s="335">
        <v>20262141</v>
      </c>
      <c r="H36" s="335" t="s">
        <v>169</v>
      </c>
      <c r="I36" s="335" t="s">
        <v>193</v>
      </c>
      <c r="J36" s="143" t="s">
        <v>78</v>
      </c>
      <c r="K36" s="62" t="s">
        <v>11</v>
      </c>
      <c r="L36" s="154" t="s">
        <v>78</v>
      </c>
      <c r="M36" s="63" t="s">
        <v>8</v>
      </c>
      <c r="N36" s="11"/>
      <c r="O36" s="62"/>
      <c r="P36" s="226"/>
      <c r="Q36" s="11"/>
      <c r="R36" s="11"/>
      <c r="S36" s="11"/>
      <c r="T36" s="62"/>
      <c r="U36" s="62"/>
      <c r="V36" s="11"/>
      <c r="W36" s="11"/>
      <c r="X36" s="62"/>
      <c r="Z36" s="11"/>
      <c r="AA36" s="62"/>
      <c r="AB36" s="62"/>
      <c r="AC36" s="62"/>
      <c r="AD36" s="62"/>
      <c r="AE36" s="62"/>
      <c r="AF36" s="11"/>
      <c r="AG36" s="62"/>
      <c r="AH36" s="62"/>
      <c r="AI36" s="62"/>
      <c r="AJ36" s="62"/>
      <c r="AK36" s="62"/>
      <c r="AL36" s="62"/>
      <c r="AM36" s="62"/>
      <c r="AN36" s="62"/>
      <c r="AO36" s="11"/>
      <c r="AP36" s="11"/>
      <c r="AQ36" s="61"/>
      <c r="AR36" s="60"/>
      <c r="AS36" s="62"/>
    </row>
    <row r="37" spans="1:45" hidden="1">
      <c r="A37" s="293"/>
      <c r="B37" s="293"/>
      <c r="C37" s="293"/>
      <c r="D37" s="293"/>
      <c r="E37" s="293"/>
      <c r="F37" s="293"/>
      <c r="G37" s="336"/>
      <c r="H37" s="336"/>
      <c r="I37" s="336"/>
      <c r="J37" s="205" t="s">
        <v>251</v>
      </c>
      <c r="K37" s="62" t="s">
        <v>11</v>
      </c>
      <c r="L37" s="194" t="s">
        <v>57</v>
      </c>
      <c r="M37" s="113" t="s">
        <v>254</v>
      </c>
      <c r="N37" s="11"/>
      <c r="O37" s="62"/>
      <c r="P37" s="226"/>
      <c r="Q37" s="11"/>
      <c r="R37" s="11"/>
      <c r="S37" s="11"/>
      <c r="T37" s="62"/>
      <c r="U37" s="62"/>
      <c r="V37" s="11"/>
      <c r="W37" s="11"/>
      <c r="X37" s="62"/>
      <c r="Y37" s="11"/>
      <c r="Z37" s="11"/>
      <c r="AA37" s="62"/>
      <c r="AB37" s="62"/>
      <c r="AC37" s="62"/>
      <c r="AD37" s="62"/>
      <c r="AE37" s="62"/>
      <c r="AF37" s="11"/>
      <c r="AG37" s="62"/>
      <c r="AH37" s="62"/>
      <c r="AI37" s="62"/>
      <c r="AJ37" s="62"/>
      <c r="AK37" s="62"/>
      <c r="AL37" s="62"/>
      <c r="AM37" s="62"/>
      <c r="AN37" s="62"/>
      <c r="AO37" s="11"/>
      <c r="AP37" s="11"/>
      <c r="AQ37" s="61"/>
      <c r="AR37" s="60"/>
      <c r="AS37" s="62"/>
    </row>
    <row r="38" spans="1:45" hidden="1" outlineLevel="1">
      <c r="A38" s="292">
        <v>5</v>
      </c>
      <c r="B38" s="292">
        <v>2</v>
      </c>
      <c r="C38" s="292"/>
      <c r="D38" s="292"/>
      <c r="E38" s="292"/>
      <c r="F38" s="292">
        <v>880</v>
      </c>
      <c r="G38" s="335">
        <v>20262148</v>
      </c>
      <c r="H38" s="335" t="s">
        <v>170</v>
      </c>
      <c r="I38" s="335" t="s">
        <v>194</v>
      </c>
      <c r="J38" s="143" t="s">
        <v>78</v>
      </c>
      <c r="K38" s="62" t="s">
        <v>11</v>
      </c>
      <c r="L38" s="154" t="s">
        <v>78</v>
      </c>
      <c r="M38" s="63" t="s">
        <v>8</v>
      </c>
      <c r="N38" s="11"/>
      <c r="O38" s="62"/>
      <c r="P38" s="226"/>
      <c r="Q38" s="11"/>
      <c r="R38" s="11"/>
      <c r="S38" s="11"/>
      <c r="T38" s="62"/>
      <c r="U38" s="62"/>
      <c r="V38" s="11"/>
      <c r="W38" s="11"/>
      <c r="X38" s="62"/>
      <c r="Y38" s="11"/>
      <c r="Z38" s="11"/>
      <c r="AA38" s="62"/>
      <c r="AB38" s="62"/>
      <c r="AC38" s="62"/>
      <c r="AD38" s="62"/>
      <c r="AE38" s="62"/>
      <c r="AF38" s="11"/>
      <c r="AG38" s="62"/>
      <c r="AH38" s="62"/>
      <c r="AI38" s="62"/>
      <c r="AJ38" s="62"/>
      <c r="AK38" s="62"/>
      <c r="AL38" s="62"/>
      <c r="AM38" s="62"/>
      <c r="AN38" s="62"/>
      <c r="AO38" s="11"/>
      <c r="AP38" s="11"/>
      <c r="AQ38" s="61"/>
      <c r="AR38" s="60"/>
      <c r="AS38" s="62"/>
    </row>
    <row r="39" spans="1:45" hidden="1" outlineLevel="1">
      <c r="A39" s="293"/>
      <c r="B39" s="293"/>
      <c r="C39" s="293"/>
      <c r="D39" s="293"/>
      <c r="E39" s="293"/>
      <c r="F39" s="293"/>
      <c r="G39" s="336"/>
      <c r="H39" s="336"/>
      <c r="I39" s="336"/>
      <c r="J39" s="205" t="s">
        <v>251</v>
      </c>
      <c r="K39" s="62" t="s">
        <v>11</v>
      </c>
      <c r="L39" s="215" t="s">
        <v>57</v>
      </c>
      <c r="M39" s="113" t="s">
        <v>255</v>
      </c>
      <c r="N39" s="11"/>
      <c r="O39" s="62"/>
      <c r="P39" s="226"/>
      <c r="Q39" s="11"/>
      <c r="R39" s="11"/>
      <c r="S39" s="11"/>
      <c r="T39" s="62"/>
      <c r="U39" s="62"/>
      <c r="V39" s="11"/>
      <c r="W39" s="11"/>
      <c r="X39" s="62"/>
      <c r="Y39" s="11"/>
      <c r="Z39" s="11"/>
      <c r="AA39" s="62"/>
      <c r="AB39" s="62"/>
      <c r="AC39" s="62"/>
      <c r="AD39" s="62"/>
      <c r="AE39" s="62"/>
      <c r="AF39" s="11"/>
      <c r="AG39" s="62"/>
      <c r="AH39" s="62"/>
      <c r="AI39" s="62"/>
      <c r="AJ39" s="62"/>
      <c r="AK39" s="62"/>
      <c r="AL39" s="62"/>
      <c r="AM39" s="62"/>
      <c r="AN39" s="62"/>
      <c r="AO39" s="11"/>
      <c r="AP39" s="11"/>
      <c r="AQ39" s="61"/>
      <c r="AR39" s="60"/>
      <c r="AS39" s="62"/>
    </row>
    <row r="40" spans="1:45" ht="15.6" hidden="1" outlineLevel="1" thickBot="1">
      <c r="A40" s="292">
        <v>6</v>
      </c>
      <c r="B40" s="371">
        <v>4</v>
      </c>
      <c r="C40" s="371"/>
      <c r="D40" s="371"/>
      <c r="E40" s="371"/>
      <c r="F40" s="371">
        <v>306</v>
      </c>
      <c r="G40" s="373">
        <v>20262152</v>
      </c>
      <c r="H40" s="373" t="s">
        <v>171</v>
      </c>
      <c r="I40" s="335" t="s">
        <v>192</v>
      </c>
      <c r="J40" s="62" t="s">
        <v>11</v>
      </c>
      <c r="K40" s="143" t="s">
        <v>78</v>
      </c>
      <c r="L40" s="154" t="s">
        <v>78</v>
      </c>
      <c r="M40" s="62" t="s">
        <v>11</v>
      </c>
      <c r="N40" s="22" t="s">
        <v>8</v>
      </c>
      <c r="O40" s="62"/>
      <c r="P40" s="226"/>
      <c r="Q40" s="11"/>
      <c r="R40" s="11"/>
      <c r="S40" s="11"/>
      <c r="T40" s="62"/>
      <c r="U40" s="62"/>
      <c r="V40" s="11"/>
      <c r="W40" s="11"/>
      <c r="X40" s="62"/>
      <c r="Y40" s="11"/>
      <c r="Z40" s="11"/>
      <c r="AA40" s="62"/>
      <c r="AB40" s="62"/>
      <c r="AC40" s="62"/>
      <c r="AD40" s="62"/>
      <c r="AE40" s="62"/>
      <c r="AF40" s="11"/>
      <c r="AG40" s="62"/>
      <c r="AH40" s="62"/>
      <c r="AI40" s="62"/>
      <c r="AJ40" s="62"/>
      <c r="AK40" s="62"/>
      <c r="AL40" s="62"/>
      <c r="AM40" s="62"/>
      <c r="AN40" s="62"/>
      <c r="AO40" s="11"/>
      <c r="AP40" s="11"/>
      <c r="AQ40" s="61"/>
      <c r="AR40" s="60"/>
      <c r="AS40" s="62"/>
    </row>
    <row r="41" spans="1:45" ht="16.2" hidden="1" outlineLevel="1" thickTop="1" thickBot="1">
      <c r="A41" s="388"/>
      <c r="B41" s="393"/>
      <c r="C41" s="393"/>
      <c r="D41" s="393"/>
      <c r="E41" s="393"/>
      <c r="F41" s="393"/>
      <c r="G41" s="391"/>
      <c r="H41" s="391"/>
      <c r="I41" s="392"/>
      <c r="J41" s="65" t="s">
        <v>11</v>
      </c>
      <c r="K41" s="250" t="s">
        <v>251</v>
      </c>
      <c r="L41" s="251" t="s">
        <v>57</v>
      </c>
      <c r="M41" s="65" t="s">
        <v>11</v>
      </c>
      <c r="N41" s="252"/>
      <c r="O41" s="65"/>
      <c r="P41" s="253"/>
      <c r="Q41" s="7"/>
      <c r="R41" s="7"/>
      <c r="S41" s="7"/>
      <c r="T41" s="65"/>
      <c r="U41" s="65"/>
      <c r="V41" s="7"/>
      <c r="W41" s="7"/>
      <c r="X41" s="65"/>
      <c r="Y41" s="7"/>
      <c r="Z41" s="7"/>
      <c r="AA41" s="65"/>
      <c r="AB41" s="65"/>
      <c r="AC41" s="65"/>
      <c r="AD41" s="65"/>
      <c r="AE41" s="65"/>
      <c r="AF41" s="7"/>
      <c r="AG41" s="65"/>
      <c r="AH41" s="65"/>
      <c r="AI41" s="65"/>
      <c r="AJ41" s="65"/>
      <c r="AK41" s="65"/>
      <c r="AL41" s="65"/>
      <c r="AM41" s="65"/>
      <c r="AN41" s="65"/>
      <c r="AO41" s="7"/>
      <c r="AP41" s="7"/>
      <c r="AQ41" s="85"/>
      <c r="AR41" s="60"/>
      <c r="AS41" s="62"/>
    </row>
    <row r="42" spans="1:45" ht="16.2" outlineLevel="1" thickTop="1" thickBot="1">
      <c r="A42" s="393">
        <v>7</v>
      </c>
      <c r="B42" s="372">
        <v>4</v>
      </c>
      <c r="C42" s="372"/>
      <c r="D42" s="372"/>
      <c r="E42" s="394" t="s">
        <v>176</v>
      </c>
      <c r="F42" s="393"/>
      <c r="G42" s="391">
        <v>20263502</v>
      </c>
      <c r="H42" s="391" t="s">
        <v>225</v>
      </c>
      <c r="I42" s="391" t="s">
        <v>226</v>
      </c>
      <c r="J42" s="92" t="s">
        <v>11</v>
      </c>
      <c r="K42" s="142" t="s">
        <v>78</v>
      </c>
      <c r="L42" s="156" t="s">
        <v>78</v>
      </c>
      <c r="M42" s="91" t="s">
        <v>11</v>
      </c>
      <c r="N42" s="142" t="s">
        <v>78</v>
      </c>
      <c r="O42" s="142" t="s">
        <v>78</v>
      </c>
      <c r="P42" s="227" t="s">
        <v>11</v>
      </c>
      <c r="Q42" s="142" t="s">
        <v>78</v>
      </c>
      <c r="R42" s="142" t="s">
        <v>78</v>
      </c>
      <c r="S42" s="142" t="s">
        <v>78</v>
      </c>
      <c r="T42" s="227" t="s">
        <v>11</v>
      </c>
      <c r="U42" s="92" t="s">
        <v>11</v>
      </c>
      <c r="V42" s="142" t="s">
        <v>78</v>
      </c>
      <c r="W42" s="142" t="s">
        <v>78</v>
      </c>
      <c r="X42" s="92" t="s">
        <v>11</v>
      </c>
      <c r="Y42" s="142" t="s">
        <v>78</v>
      </c>
      <c r="Z42" s="142" t="s">
        <v>78</v>
      </c>
      <c r="AA42" s="22" t="s">
        <v>8</v>
      </c>
      <c r="AB42" s="92" t="s">
        <v>56</v>
      </c>
      <c r="AC42" s="92"/>
      <c r="AD42" s="92"/>
      <c r="AE42" s="92"/>
      <c r="AF42" s="92"/>
      <c r="AG42" s="92" t="s">
        <v>11</v>
      </c>
      <c r="AH42" s="92"/>
      <c r="AI42" s="92"/>
      <c r="AJ42" s="92"/>
      <c r="AK42" s="92"/>
      <c r="AL42" s="92"/>
      <c r="AM42" s="282" t="s">
        <v>11</v>
      </c>
      <c r="AN42" s="92" t="s">
        <v>11</v>
      </c>
      <c r="AO42" s="92"/>
      <c r="AP42" s="78"/>
      <c r="AQ42" s="79"/>
      <c r="AR42" s="60"/>
      <c r="AS42" s="62"/>
    </row>
    <row r="43" spans="1:45" ht="15.6" outlineLevel="1" thickTop="1">
      <c r="A43" s="293"/>
      <c r="B43" s="390"/>
      <c r="C43" s="390"/>
      <c r="D43" s="390"/>
      <c r="E43" s="338"/>
      <c r="F43" s="293"/>
      <c r="G43" s="336"/>
      <c r="H43" s="336"/>
      <c r="I43" s="336"/>
      <c r="J43" s="62" t="s">
        <v>11</v>
      </c>
      <c r="K43" s="212" t="s">
        <v>251</v>
      </c>
      <c r="L43" s="216" t="s">
        <v>251</v>
      </c>
      <c r="M43" s="60" t="s">
        <v>11</v>
      </c>
      <c r="N43" s="222" t="s">
        <v>253</v>
      </c>
      <c r="O43" s="143" t="s">
        <v>78</v>
      </c>
      <c r="P43" s="226" t="s">
        <v>11</v>
      </c>
      <c r="Q43" s="212" t="s">
        <v>251</v>
      </c>
      <c r="R43" s="222" t="s">
        <v>253</v>
      </c>
      <c r="S43" s="232" t="s">
        <v>57</v>
      </c>
      <c r="T43" s="226" t="s">
        <v>11</v>
      </c>
      <c r="U43" s="62" t="s">
        <v>11</v>
      </c>
      <c r="V43" s="277" t="s">
        <v>289</v>
      </c>
      <c r="W43" s="222" t="s">
        <v>253</v>
      </c>
      <c r="X43" s="62" t="s">
        <v>11</v>
      </c>
      <c r="Y43" s="143" t="s">
        <v>78</v>
      </c>
      <c r="Z43" s="143" t="s">
        <v>78</v>
      </c>
      <c r="AA43" s="34" t="s">
        <v>54</v>
      </c>
      <c r="AB43" s="62" t="s">
        <v>56</v>
      </c>
      <c r="AC43" s="62"/>
      <c r="AD43" s="62"/>
      <c r="AE43" s="62"/>
      <c r="AF43" s="62"/>
      <c r="AG43" s="62" t="s">
        <v>11</v>
      </c>
      <c r="AH43" s="62"/>
      <c r="AI43" s="62"/>
      <c r="AJ43" s="62"/>
      <c r="AK43" s="62"/>
      <c r="AL43" s="62"/>
      <c r="AM43" s="236" t="s">
        <v>11</v>
      </c>
      <c r="AN43" s="62" t="s">
        <v>11</v>
      </c>
      <c r="AO43" s="62"/>
      <c r="AP43" s="11"/>
      <c r="AQ43" s="61"/>
      <c r="AR43" s="60"/>
      <c r="AS43" s="62"/>
    </row>
    <row r="44" spans="1:45" outlineLevel="1">
      <c r="A44" s="292">
        <v>8</v>
      </c>
      <c r="B44" s="292">
        <v>2</v>
      </c>
      <c r="C44" s="292"/>
      <c r="D44" s="292"/>
      <c r="E44" s="337" t="s">
        <v>176</v>
      </c>
      <c r="F44" s="292"/>
      <c r="G44" s="335">
        <v>20263515</v>
      </c>
      <c r="H44" s="335" t="s">
        <v>227</v>
      </c>
      <c r="I44" s="335" t="s">
        <v>228</v>
      </c>
      <c r="J44" s="62" t="s">
        <v>11</v>
      </c>
      <c r="K44" s="207" t="s">
        <v>78</v>
      </c>
      <c r="L44" s="154" t="s">
        <v>78</v>
      </c>
      <c r="M44" s="60" t="s">
        <v>11</v>
      </c>
      <c r="N44" s="143" t="s">
        <v>78</v>
      </c>
      <c r="O44" s="143" t="s">
        <v>78</v>
      </c>
      <c r="P44" s="226" t="s">
        <v>11</v>
      </c>
      <c r="Q44" s="143" t="s">
        <v>78</v>
      </c>
      <c r="R44" s="143" t="s">
        <v>78</v>
      </c>
      <c r="S44" s="143" t="s">
        <v>78</v>
      </c>
      <c r="T44" s="143" t="s">
        <v>78</v>
      </c>
      <c r="U44" s="143" t="s">
        <v>78</v>
      </c>
      <c r="V44" s="62" t="s">
        <v>11</v>
      </c>
      <c r="W44" s="143" t="s">
        <v>78</v>
      </c>
      <c r="X44" s="62" t="s">
        <v>11</v>
      </c>
      <c r="Y44" s="143" t="s">
        <v>78</v>
      </c>
      <c r="Z44" s="22" t="s">
        <v>8</v>
      </c>
      <c r="AA44" s="62"/>
      <c r="AB44" s="62" t="s">
        <v>56</v>
      </c>
      <c r="AC44" s="62"/>
      <c r="AD44" s="62"/>
      <c r="AE44" s="62"/>
      <c r="AF44" s="62" t="s">
        <v>11</v>
      </c>
      <c r="AG44" s="62" t="s">
        <v>11</v>
      </c>
      <c r="AH44" s="62"/>
      <c r="AI44" s="62"/>
      <c r="AJ44" s="62"/>
      <c r="AK44" s="62"/>
      <c r="AL44" s="62"/>
      <c r="AM44" s="62" t="s">
        <v>11</v>
      </c>
      <c r="AN44" s="62" t="s">
        <v>11</v>
      </c>
      <c r="AO44" s="62"/>
      <c r="AP44" s="11"/>
      <c r="AQ44" s="61"/>
      <c r="AR44" s="60"/>
      <c r="AS44" s="62"/>
    </row>
    <row r="45" spans="1:45" outlineLevel="1">
      <c r="A45" s="293"/>
      <c r="B45" s="293"/>
      <c r="C45" s="293"/>
      <c r="D45" s="293"/>
      <c r="E45" s="338"/>
      <c r="F45" s="293"/>
      <c r="G45" s="336"/>
      <c r="H45" s="336"/>
      <c r="I45" s="336"/>
      <c r="J45" s="62" t="s">
        <v>11</v>
      </c>
      <c r="K45" s="232" t="s">
        <v>57</v>
      </c>
      <c r="L45" s="217" t="s">
        <v>251</v>
      </c>
      <c r="M45" s="60" t="s">
        <v>11</v>
      </c>
      <c r="N45" s="222" t="s">
        <v>253</v>
      </c>
      <c r="O45" s="143" t="s">
        <v>78</v>
      </c>
      <c r="P45" s="226" t="s">
        <v>11</v>
      </c>
      <c r="Q45" s="222" t="s">
        <v>253</v>
      </c>
      <c r="R45" s="222" t="s">
        <v>253</v>
      </c>
      <c r="S45" s="213" t="s">
        <v>251</v>
      </c>
      <c r="T45" s="232" t="s">
        <v>57</v>
      </c>
      <c r="U45" s="211" t="s">
        <v>251</v>
      </c>
      <c r="V45" s="62" t="s">
        <v>11</v>
      </c>
      <c r="W45" s="222" t="s">
        <v>253</v>
      </c>
      <c r="X45" s="62" t="s">
        <v>11</v>
      </c>
      <c r="Y45" s="143" t="s">
        <v>78</v>
      </c>
      <c r="Z45" s="34" t="s">
        <v>43</v>
      </c>
      <c r="AA45" s="62"/>
      <c r="AB45" s="62" t="s">
        <v>56</v>
      </c>
      <c r="AC45" s="62"/>
      <c r="AD45" s="62"/>
      <c r="AE45" s="62"/>
      <c r="AF45" s="62" t="s">
        <v>11</v>
      </c>
      <c r="AG45" s="62" t="s">
        <v>11</v>
      </c>
      <c r="AH45" s="62"/>
      <c r="AI45" s="62"/>
      <c r="AJ45" s="62"/>
      <c r="AK45" s="62"/>
      <c r="AL45" s="62"/>
      <c r="AM45" s="62" t="s">
        <v>11</v>
      </c>
      <c r="AN45" s="62" t="s">
        <v>11</v>
      </c>
      <c r="AO45" s="62"/>
      <c r="AP45" s="11"/>
      <c r="AQ45" s="61"/>
      <c r="AR45" s="60"/>
      <c r="AS45" s="62"/>
    </row>
    <row r="46" spans="1:45">
      <c r="A46" s="292">
        <v>9</v>
      </c>
      <c r="B46" s="292">
        <v>4</v>
      </c>
      <c r="C46" s="292"/>
      <c r="D46" s="292"/>
      <c r="E46" s="337" t="s">
        <v>176</v>
      </c>
      <c r="F46" s="292"/>
      <c r="G46" s="335">
        <v>20263518</v>
      </c>
      <c r="H46" s="369" t="s">
        <v>229</v>
      </c>
      <c r="I46" s="335" t="s">
        <v>232</v>
      </c>
      <c r="J46" s="62" t="s">
        <v>11</v>
      </c>
      <c r="K46" s="143" t="s">
        <v>78</v>
      </c>
      <c r="L46" s="154" t="s">
        <v>78</v>
      </c>
      <c r="M46" s="60" t="s">
        <v>11</v>
      </c>
      <c r="N46" s="143" t="s">
        <v>78</v>
      </c>
      <c r="O46" s="143" t="s">
        <v>78</v>
      </c>
      <c r="P46" s="226" t="s">
        <v>11</v>
      </c>
      <c r="Q46" s="143" t="s">
        <v>78</v>
      </c>
      <c r="R46" s="259" t="s">
        <v>11</v>
      </c>
      <c r="S46" s="143" t="s">
        <v>78</v>
      </c>
      <c r="T46" s="143" t="s">
        <v>78</v>
      </c>
      <c r="U46" s="62" t="s">
        <v>11</v>
      </c>
      <c r="V46" s="143" t="s">
        <v>78</v>
      </c>
      <c r="W46" s="62" t="s">
        <v>11</v>
      </c>
      <c r="X46" s="143" t="s">
        <v>78</v>
      </c>
      <c r="Y46" s="143" t="s">
        <v>78</v>
      </c>
      <c r="Z46" s="143" t="s">
        <v>78</v>
      </c>
      <c r="AA46" s="234" t="s">
        <v>78</v>
      </c>
      <c r="AB46" s="234" t="s">
        <v>78</v>
      </c>
      <c r="AC46" s="62" t="s">
        <v>56</v>
      </c>
      <c r="AD46" s="234" t="s">
        <v>78</v>
      </c>
      <c r="AE46" s="234" t="s">
        <v>78</v>
      </c>
      <c r="AF46" s="62"/>
      <c r="AG46" s="62" t="s">
        <v>11</v>
      </c>
      <c r="AH46" s="62"/>
      <c r="AI46" s="62"/>
      <c r="AJ46" s="62"/>
      <c r="AK46" s="62"/>
      <c r="AL46" s="62"/>
      <c r="AM46" s="62" t="s">
        <v>11</v>
      </c>
      <c r="AN46" s="62" t="s">
        <v>11</v>
      </c>
      <c r="AO46" s="62"/>
      <c r="AP46" s="11"/>
      <c r="AQ46" s="61"/>
      <c r="AR46" s="60"/>
      <c r="AS46" s="62"/>
    </row>
    <row r="47" spans="1:45">
      <c r="A47" s="293"/>
      <c r="B47" s="293"/>
      <c r="C47" s="293"/>
      <c r="D47" s="293"/>
      <c r="E47" s="338"/>
      <c r="F47" s="293"/>
      <c r="G47" s="336"/>
      <c r="H47" s="370"/>
      <c r="I47" s="336"/>
      <c r="J47" s="62" t="s">
        <v>11</v>
      </c>
      <c r="K47" s="213" t="s">
        <v>251</v>
      </c>
      <c r="L47" s="216" t="s">
        <v>251</v>
      </c>
      <c r="M47" s="60" t="s">
        <v>11</v>
      </c>
      <c r="N47" s="222" t="s">
        <v>253</v>
      </c>
      <c r="O47" s="143" t="s">
        <v>78</v>
      </c>
      <c r="P47" s="226" t="s">
        <v>11</v>
      </c>
      <c r="Q47" s="211" t="s">
        <v>251</v>
      </c>
      <c r="R47" s="259" t="s">
        <v>11</v>
      </c>
      <c r="S47" s="232" t="s">
        <v>57</v>
      </c>
      <c r="T47" s="211" t="s">
        <v>251</v>
      </c>
      <c r="U47" s="62" t="s">
        <v>11</v>
      </c>
      <c r="V47" s="232" t="s">
        <v>57</v>
      </c>
      <c r="W47" s="62" t="s">
        <v>11</v>
      </c>
      <c r="X47" s="232" t="s">
        <v>57</v>
      </c>
      <c r="Y47" s="143" t="s">
        <v>78</v>
      </c>
      <c r="Z47" s="143" t="s">
        <v>78</v>
      </c>
      <c r="AA47" s="232" t="s">
        <v>57</v>
      </c>
      <c r="AB47" s="234" t="s">
        <v>78</v>
      </c>
      <c r="AC47" s="62" t="s">
        <v>56</v>
      </c>
      <c r="AD47" s="234" t="s">
        <v>78</v>
      </c>
      <c r="AE47" s="234" t="s">
        <v>78</v>
      </c>
      <c r="AF47" s="62"/>
      <c r="AG47" s="62" t="s">
        <v>11</v>
      </c>
      <c r="AH47" s="62"/>
      <c r="AI47" s="62"/>
      <c r="AJ47" s="62"/>
      <c r="AK47" s="62"/>
      <c r="AL47" s="62"/>
      <c r="AM47" s="62" t="s">
        <v>11</v>
      </c>
      <c r="AN47" s="62" t="s">
        <v>11</v>
      </c>
      <c r="AO47" s="62"/>
      <c r="AP47" s="11"/>
      <c r="AQ47" s="61"/>
      <c r="AR47" s="60"/>
      <c r="AS47" s="62"/>
    </row>
    <row r="48" spans="1:45">
      <c r="A48" s="292">
        <v>10</v>
      </c>
      <c r="B48" s="292">
        <v>2</v>
      </c>
      <c r="C48" s="292"/>
      <c r="D48" s="292"/>
      <c r="E48" s="337" t="s">
        <v>176</v>
      </c>
      <c r="F48" s="292"/>
      <c r="G48" s="335">
        <v>20263526</v>
      </c>
      <c r="H48" s="335" t="s">
        <v>230</v>
      </c>
      <c r="I48" s="335" t="s">
        <v>231</v>
      </c>
      <c r="J48" s="62" t="s">
        <v>11</v>
      </c>
      <c r="K48" s="208" t="s">
        <v>78</v>
      </c>
      <c r="L48" s="218" t="s">
        <v>78</v>
      </c>
      <c r="M48" s="60" t="s">
        <v>11</v>
      </c>
      <c r="N48" s="143" t="s">
        <v>78</v>
      </c>
      <c r="O48" s="143" t="s">
        <v>78</v>
      </c>
      <c r="P48" s="226" t="s">
        <v>11</v>
      </c>
      <c r="Q48" s="143" t="s">
        <v>78</v>
      </c>
      <c r="R48" s="143" t="s">
        <v>78</v>
      </c>
      <c r="S48" s="143" t="s">
        <v>78</v>
      </c>
      <c r="T48" s="143" t="s">
        <v>78</v>
      </c>
      <c r="U48" s="143" t="s">
        <v>78</v>
      </c>
      <c r="V48" s="62" t="s">
        <v>11</v>
      </c>
      <c r="W48" s="143" t="s">
        <v>78</v>
      </c>
      <c r="X48" s="259" t="s">
        <v>11</v>
      </c>
      <c r="Y48" s="143" t="s">
        <v>78</v>
      </c>
      <c r="Z48" s="143" t="s">
        <v>78</v>
      </c>
      <c r="AA48" s="22" t="s">
        <v>8</v>
      </c>
      <c r="AB48" s="11"/>
      <c r="AC48" s="11"/>
      <c r="AD48" s="11"/>
      <c r="AE48" s="11"/>
      <c r="AF48" s="62" t="s">
        <v>11</v>
      </c>
      <c r="AG48" s="62" t="s">
        <v>11</v>
      </c>
      <c r="AH48" s="62"/>
      <c r="AI48" s="62"/>
      <c r="AJ48" s="62"/>
      <c r="AK48" s="62"/>
      <c r="AL48" s="62"/>
      <c r="AM48" s="62" t="s">
        <v>11</v>
      </c>
      <c r="AN48" s="62" t="s">
        <v>11</v>
      </c>
      <c r="AO48" s="62"/>
      <c r="AP48" s="11"/>
      <c r="AQ48" s="61"/>
      <c r="AR48" s="60"/>
      <c r="AS48" s="62"/>
    </row>
    <row r="49" spans="1:45">
      <c r="A49" s="293"/>
      <c r="B49" s="293"/>
      <c r="C49" s="293"/>
      <c r="D49" s="293"/>
      <c r="E49" s="338"/>
      <c r="F49" s="293"/>
      <c r="G49" s="336"/>
      <c r="H49" s="336"/>
      <c r="I49" s="336"/>
      <c r="J49" s="62" t="s">
        <v>11</v>
      </c>
      <c r="K49" s="232" t="s">
        <v>57</v>
      </c>
      <c r="L49" s="217" t="s">
        <v>251</v>
      </c>
      <c r="M49" s="60" t="s">
        <v>11</v>
      </c>
      <c r="N49" s="222" t="s">
        <v>253</v>
      </c>
      <c r="O49" s="143" t="s">
        <v>78</v>
      </c>
      <c r="P49" s="226" t="s">
        <v>11</v>
      </c>
      <c r="Q49" s="211" t="s">
        <v>251</v>
      </c>
      <c r="R49" s="222" t="s">
        <v>253</v>
      </c>
      <c r="S49" s="232" t="s">
        <v>57</v>
      </c>
      <c r="T49" s="232" t="s">
        <v>57</v>
      </c>
      <c r="U49" s="222" t="s">
        <v>253</v>
      </c>
      <c r="V49" s="62" t="s">
        <v>11</v>
      </c>
      <c r="W49" s="222" t="s">
        <v>253</v>
      </c>
      <c r="X49" s="259" t="s">
        <v>11</v>
      </c>
      <c r="Y49" s="143" t="s">
        <v>78</v>
      </c>
      <c r="Z49" s="143" t="s">
        <v>78</v>
      </c>
      <c r="AA49" s="34" t="s">
        <v>70</v>
      </c>
      <c r="AB49" s="11"/>
      <c r="AC49" s="11"/>
      <c r="AD49" s="11"/>
      <c r="AE49" s="11"/>
      <c r="AF49" s="62" t="s">
        <v>11</v>
      </c>
      <c r="AG49" s="62" t="s">
        <v>11</v>
      </c>
      <c r="AH49" s="62"/>
      <c r="AI49" s="62"/>
      <c r="AJ49" s="62"/>
      <c r="AK49" s="62"/>
      <c r="AL49" s="62"/>
      <c r="AM49" s="62" t="s">
        <v>11</v>
      </c>
      <c r="AN49" s="62" t="s">
        <v>11</v>
      </c>
      <c r="AO49" s="62"/>
      <c r="AP49" s="11"/>
      <c r="AQ49" s="61"/>
      <c r="AR49" s="60"/>
      <c r="AS49" s="62"/>
    </row>
    <row r="50" spans="1:45">
      <c r="A50" s="292">
        <v>11</v>
      </c>
      <c r="B50" s="292">
        <v>4</v>
      </c>
      <c r="C50" s="292"/>
      <c r="D50" s="292"/>
      <c r="E50" s="337" t="s">
        <v>176</v>
      </c>
      <c r="F50" s="292"/>
      <c r="G50" s="335">
        <v>20263558</v>
      </c>
      <c r="H50" s="335" t="s">
        <v>233</v>
      </c>
      <c r="I50" s="335" t="s">
        <v>234</v>
      </c>
      <c r="J50" s="100" t="s">
        <v>40</v>
      </c>
      <c r="K50" s="143" t="s">
        <v>78</v>
      </c>
      <c r="L50" s="61" t="s">
        <v>11</v>
      </c>
      <c r="M50" s="60" t="s">
        <v>11</v>
      </c>
      <c r="N50" s="143" t="s">
        <v>78</v>
      </c>
      <c r="O50" s="15" t="s">
        <v>16</v>
      </c>
      <c r="P50" s="141" t="s">
        <v>47</v>
      </c>
      <c r="Q50" s="143" t="s">
        <v>78</v>
      </c>
      <c r="R50" s="143" t="s">
        <v>78</v>
      </c>
      <c r="S50" s="62" t="s">
        <v>11</v>
      </c>
      <c r="T50" s="143" t="s">
        <v>78</v>
      </c>
      <c r="U50" s="143" t="s">
        <v>78</v>
      </c>
      <c r="V50" s="62" t="s">
        <v>11</v>
      </c>
      <c r="W50" s="143" t="s">
        <v>78</v>
      </c>
      <c r="X50" s="143" t="s">
        <v>78</v>
      </c>
      <c r="Y50" s="143" t="s">
        <v>78</v>
      </c>
      <c r="Z50" s="143" t="s">
        <v>78</v>
      </c>
      <c r="AA50" s="62" t="s">
        <v>56</v>
      </c>
      <c r="AB50" s="22" t="s">
        <v>8</v>
      </c>
      <c r="AC50" s="11"/>
      <c r="AD50" s="11"/>
      <c r="AE50" s="236" t="s">
        <v>11</v>
      </c>
      <c r="AF50" s="236" t="s">
        <v>11</v>
      </c>
      <c r="AG50" s="62"/>
      <c r="AH50" s="236" t="s">
        <v>11</v>
      </c>
      <c r="AI50" s="62"/>
      <c r="AJ50" s="62"/>
      <c r="AK50" s="62"/>
      <c r="AL50" s="62" t="s">
        <v>11</v>
      </c>
      <c r="AM50" s="62"/>
      <c r="AN50" s="62"/>
      <c r="AO50" s="62"/>
      <c r="AP50" s="62" t="s">
        <v>11</v>
      </c>
      <c r="AQ50" s="61"/>
      <c r="AR50" s="60"/>
      <c r="AS50" s="62"/>
    </row>
    <row r="51" spans="1:45">
      <c r="A51" s="293"/>
      <c r="B51" s="293"/>
      <c r="C51" s="293"/>
      <c r="D51" s="293"/>
      <c r="E51" s="338"/>
      <c r="F51" s="293"/>
      <c r="G51" s="336"/>
      <c r="H51" s="336"/>
      <c r="I51" s="336"/>
      <c r="J51" s="206" t="s">
        <v>252</v>
      </c>
      <c r="K51" s="211" t="s">
        <v>251</v>
      </c>
      <c r="L51" s="61" t="s">
        <v>11</v>
      </c>
      <c r="M51" s="60" t="s">
        <v>11</v>
      </c>
      <c r="N51" s="232" t="s">
        <v>57</v>
      </c>
      <c r="O51" s="20" t="s">
        <v>13</v>
      </c>
      <c r="P51" s="25" t="s">
        <v>15</v>
      </c>
      <c r="Q51" s="222" t="s">
        <v>253</v>
      </c>
      <c r="R51" s="232" t="s">
        <v>57</v>
      </c>
      <c r="S51" s="62" t="s">
        <v>11</v>
      </c>
      <c r="T51" s="232" t="s">
        <v>57</v>
      </c>
      <c r="U51" s="211" t="s">
        <v>251</v>
      </c>
      <c r="V51" s="62" t="s">
        <v>11</v>
      </c>
      <c r="W51" s="222" t="s">
        <v>253</v>
      </c>
      <c r="X51" s="211" t="s">
        <v>251</v>
      </c>
      <c r="Y51" s="143" t="s">
        <v>78</v>
      </c>
      <c r="Z51" s="143" t="s">
        <v>78</v>
      </c>
      <c r="AA51" s="62" t="s">
        <v>56</v>
      </c>
      <c r="AB51" s="34" t="s">
        <v>54</v>
      </c>
      <c r="AC51" s="11"/>
      <c r="AD51" s="11"/>
      <c r="AE51" s="236" t="s">
        <v>11</v>
      </c>
      <c r="AF51" s="236" t="s">
        <v>11</v>
      </c>
      <c r="AG51" s="62"/>
      <c r="AH51" s="236" t="s">
        <v>11</v>
      </c>
      <c r="AI51" s="62"/>
      <c r="AJ51" s="62"/>
      <c r="AK51" s="62"/>
      <c r="AL51" s="62" t="s">
        <v>11</v>
      </c>
      <c r="AM51" s="62"/>
      <c r="AN51" s="62"/>
      <c r="AO51" s="62"/>
      <c r="AP51" s="62" t="s">
        <v>11</v>
      </c>
      <c r="AQ51" s="61"/>
      <c r="AR51" s="60"/>
      <c r="AS51" s="62"/>
    </row>
    <row r="52" spans="1:45">
      <c r="A52" s="292">
        <v>12</v>
      </c>
      <c r="B52" s="292">
        <v>1</v>
      </c>
      <c r="C52" s="292"/>
      <c r="D52" s="292"/>
      <c r="E52" s="337" t="s">
        <v>176</v>
      </c>
      <c r="F52" s="292"/>
      <c r="G52" s="335">
        <v>20263513</v>
      </c>
      <c r="H52" s="335" t="s">
        <v>235</v>
      </c>
      <c r="I52" s="335" t="s">
        <v>236</v>
      </c>
      <c r="J52" s="100" t="s">
        <v>40</v>
      </c>
      <c r="K52" s="62" t="s">
        <v>11</v>
      </c>
      <c r="L52" s="61" t="s">
        <v>11</v>
      </c>
      <c r="M52" s="219" t="s">
        <v>78</v>
      </c>
      <c r="N52" s="143" t="s">
        <v>78</v>
      </c>
      <c r="O52" s="62" t="s">
        <v>11</v>
      </c>
      <c r="P52" s="141" t="s">
        <v>47</v>
      </c>
      <c r="Q52" s="62" t="s">
        <v>11</v>
      </c>
      <c r="R52" s="143" t="s">
        <v>78</v>
      </c>
      <c r="S52" s="143" t="s">
        <v>78</v>
      </c>
      <c r="T52" s="143" t="s">
        <v>78</v>
      </c>
      <c r="U52" s="143" t="s">
        <v>78</v>
      </c>
      <c r="V52" s="62" t="s">
        <v>11</v>
      </c>
      <c r="W52" s="62" t="s">
        <v>11</v>
      </c>
      <c r="X52" s="143" t="s">
        <v>78</v>
      </c>
      <c r="Y52" s="62" t="s">
        <v>11</v>
      </c>
      <c r="Z52" s="143" t="s">
        <v>78</v>
      </c>
      <c r="AA52" s="143" t="s">
        <v>78</v>
      </c>
      <c r="AB52" s="62" t="s">
        <v>56</v>
      </c>
      <c r="AC52" s="234" t="s">
        <v>78</v>
      </c>
      <c r="AD52" s="234" t="s">
        <v>78</v>
      </c>
      <c r="AE52" s="234" t="s">
        <v>78</v>
      </c>
      <c r="AF52" s="62"/>
      <c r="AG52" s="62" t="s">
        <v>11</v>
      </c>
      <c r="AH52" s="62"/>
      <c r="AI52" s="62"/>
      <c r="AJ52" s="22" t="s">
        <v>8</v>
      </c>
      <c r="AK52" s="62"/>
      <c r="AL52" s="62"/>
      <c r="AM52" s="62" t="s">
        <v>11</v>
      </c>
      <c r="AN52" s="62" t="s">
        <v>11</v>
      </c>
      <c r="AO52" s="62"/>
      <c r="AP52" s="11"/>
      <c r="AQ52" s="61"/>
      <c r="AR52" s="60"/>
      <c r="AS52" s="62"/>
    </row>
    <row r="53" spans="1:45">
      <c r="A53" s="293"/>
      <c r="B53" s="293"/>
      <c r="C53" s="293"/>
      <c r="D53" s="293"/>
      <c r="E53" s="338"/>
      <c r="F53" s="293"/>
      <c r="G53" s="336"/>
      <c r="H53" s="336"/>
      <c r="I53" s="336"/>
      <c r="J53" s="206" t="s">
        <v>252</v>
      </c>
      <c r="K53" s="62" t="s">
        <v>11</v>
      </c>
      <c r="L53" s="61" t="s">
        <v>11</v>
      </c>
      <c r="M53" s="220" t="s">
        <v>253</v>
      </c>
      <c r="N53" s="213" t="s">
        <v>251</v>
      </c>
      <c r="O53" s="62" t="s">
        <v>11</v>
      </c>
      <c r="P53" s="25" t="s">
        <v>15</v>
      </c>
      <c r="Q53" s="62" t="s">
        <v>11</v>
      </c>
      <c r="R53" s="222" t="s">
        <v>253</v>
      </c>
      <c r="S53" s="213" t="s">
        <v>251</v>
      </c>
      <c r="T53" s="232" t="s">
        <v>57</v>
      </c>
      <c r="U53" s="222" t="s">
        <v>253</v>
      </c>
      <c r="V53" s="62" t="s">
        <v>11</v>
      </c>
      <c r="W53" s="62" t="s">
        <v>11</v>
      </c>
      <c r="X53" s="232" t="s">
        <v>57</v>
      </c>
      <c r="Y53" s="62" t="s">
        <v>11</v>
      </c>
      <c r="Z53" s="143" t="s">
        <v>78</v>
      </c>
      <c r="AA53" s="143" t="s">
        <v>78</v>
      </c>
      <c r="AB53" s="62" t="s">
        <v>56</v>
      </c>
      <c r="AC53" s="234" t="s">
        <v>78</v>
      </c>
      <c r="AD53" s="234" t="s">
        <v>78</v>
      </c>
      <c r="AE53" s="234" t="s">
        <v>78</v>
      </c>
      <c r="AF53" s="62"/>
      <c r="AG53" s="62" t="s">
        <v>11</v>
      </c>
      <c r="AH53" s="62"/>
      <c r="AI53" s="62"/>
      <c r="AJ53" s="34"/>
      <c r="AK53" s="62"/>
      <c r="AL53" s="62"/>
      <c r="AM53" s="62" t="s">
        <v>11</v>
      </c>
      <c r="AN53" s="62" t="s">
        <v>11</v>
      </c>
      <c r="AO53" s="62"/>
      <c r="AP53" s="11"/>
      <c r="AQ53" s="61"/>
      <c r="AR53" s="60"/>
      <c r="AS53" s="62"/>
    </row>
    <row r="54" spans="1:45">
      <c r="A54" s="292">
        <v>13</v>
      </c>
      <c r="B54" s="292">
        <v>3</v>
      </c>
      <c r="C54" s="292"/>
      <c r="D54" s="292"/>
      <c r="E54" s="337" t="s">
        <v>176</v>
      </c>
      <c r="F54" s="292"/>
      <c r="G54" s="335">
        <v>20263527</v>
      </c>
      <c r="H54" s="369" t="s">
        <v>237</v>
      </c>
      <c r="I54" s="335" t="s">
        <v>238</v>
      </c>
      <c r="J54" s="100" t="s">
        <v>40</v>
      </c>
      <c r="K54" s="207" t="s">
        <v>78</v>
      </c>
      <c r="L54" s="61" t="s">
        <v>11</v>
      </c>
      <c r="M54" s="60" t="s">
        <v>11</v>
      </c>
      <c r="N54" s="143" t="s">
        <v>78</v>
      </c>
      <c r="O54" s="62" t="s">
        <v>11</v>
      </c>
      <c r="P54" s="141" t="s">
        <v>47</v>
      </c>
      <c r="Q54" s="143" t="s">
        <v>78</v>
      </c>
      <c r="R54" s="259" t="s">
        <v>11</v>
      </c>
      <c r="S54" s="143" t="s">
        <v>78</v>
      </c>
      <c r="T54" s="143" t="s">
        <v>78</v>
      </c>
      <c r="U54" s="62" t="s">
        <v>11</v>
      </c>
      <c r="V54" s="143" t="s">
        <v>78</v>
      </c>
      <c r="W54" s="143" t="s">
        <v>78</v>
      </c>
      <c r="X54" s="62" t="s">
        <v>11</v>
      </c>
      <c r="Y54" s="143" t="s">
        <v>78</v>
      </c>
      <c r="Z54" s="143" t="s">
        <v>78</v>
      </c>
      <c r="AA54" s="143" t="s">
        <v>78</v>
      </c>
      <c r="AB54" s="234" t="s">
        <v>78</v>
      </c>
      <c r="AC54" s="62" t="s">
        <v>56</v>
      </c>
      <c r="AD54" s="234" t="s">
        <v>78</v>
      </c>
      <c r="AE54" s="234" t="s">
        <v>78</v>
      </c>
      <c r="AF54" s="11"/>
      <c r="AG54" s="62" t="s">
        <v>11</v>
      </c>
      <c r="AH54" s="62"/>
      <c r="AI54" s="62"/>
      <c r="AJ54" s="22" t="s">
        <v>8</v>
      </c>
      <c r="AK54" s="62"/>
      <c r="AL54" s="62"/>
      <c r="AM54" s="62" t="s">
        <v>11</v>
      </c>
      <c r="AN54" s="62" t="s">
        <v>11</v>
      </c>
      <c r="AO54" s="62"/>
      <c r="AP54" s="11"/>
      <c r="AQ54" s="61"/>
      <c r="AR54" s="60"/>
      <c r="AS54" s="62"/>
    </row>
    <row r="55" spans="1:45">
      <c r="A55" s="293"/>
      <c r="B55" s="293"/>
      <c r="C55" s="293"/>
      <c r="D55" s="293"/>
      <c r="E55" s="338"/>
      <c r="F55" s="293"/>
      <c r="G55" s="336"/>
      <c r="H55" s="370"/>
      <c r="I55" s="336"/>
      <c r="J55" s="206" t="s">
        <v>252</v>
      </c>
      <c r="K55" s="232" t="s">
        <v>57</v>
      </c>
      <c r="L55" s="61" t="s">
        <v>11</v>
      </c>
      <c r="M55" s="60" t="s">
        <v>11</v>
      </c>
      <c r="N55" s="213" t="s">
        <v>251</v>
      </c>
      <c r="O55" s="62" t="s">
        <v>11</v>
      </c>
      <c r="P55" s="25" t="s">
        <v>15</v>
      </c>
      <c r="Q55" s="222" t="s">
        <v>253</v>
      </c>
      <c r="R55" s="259" t="s">
        <v>11</v>
      </c>
      <c r="S55" s="232" t="s">
        <v>57</v>
      </c>
      <c r="T55" s="232" t="s">
        <v>57</v>
      </c>
      <c r="U55" s="62" t="s">
        <v>11</v>
      </c>
      <c r="V55" s="232" t="s">
        <v>57</v>
      </c>
      <c r="W55" s="222" t="s">
        <v>253</v>
      </c>
      <c r="X55" s="62" t="s">
        <v>11</v>
      </c>
      <c r="Y55" s="143" t="s">
        <v>78</v>
      </c>
      <c r="Z55" s="143" t="s">
        <v>78</v>
      </c>
      <c r="AA55" s="232" t="s">
        <v>57</v>
      </c>
      <c r="AB55" s="234" t="s">
        <v>78</v>
      </c>
      <c r="AC55" s="62" t="s">
        <v>56</v>
      </c>
      <c r="AD55" s="234" t="s">
        <v>78</v>
      </c>
      <c r="AE55" s="234" t="s">
        <v>78</v>
      </c>
      <c r="AF55" s="11"/>
      <c r="AG55" s="62" t="s">
        <v>11</v>
      </c>
      <c r="AH55" s="62"/>
      <c r="AI55" s="62"/>
      <c r="AJ55" s="34"/>
      <c r="AK55" s="62"/>
      <c r="AL55" s="62"/>
      <c r="AM55" s="62" t="s">
        <v>11</v>
      </c>
      <c r="AN55" s="62" t="s">
        <v>11</v>
      </c>
      <c r="AO55" s="62"/>
      <c r="AP55" s="11"/>
      <c r="AQ55" s="61"/>
      <c r="AR55" s="60"/>
      <c r="AS55" s="62"/>
    </row>
    <row r="56" spans="1:45">
      <c r="A56" s="292">
        <v>14</v>
      </c>
      <c r="B56" s="292">
        <v>2</v>
      </c>
      <c r="C56" s="292"/>
      <c r="D56" s="292"/>
      <c r="E56" s="337" t="s">
        <v>176</v>
      </c>
      <c r="F56" s="292"/>
      <c r="G56" s="335">
        <v>20263569</v>
      </c>
      <c r="H56" s="335" t="s">
        <v>239</v>
      </c>
      <c r="I56" s="335" t="s">
        <v>270</v>
      </c>
      <c r="J56" s="100" t="s">
        <v>40</v>
      </c>
      <c r="K56" s="143" t="s">
        <v>78</v>
      </c>
      <c r="L56" s="61" t="s">
        <v>11</v>
      </c>
      <c r="M56" s="60" t="s">
        <v>11</v>
      </c>
      <c r="N56" s="143" t="s">
        <v>78</v>
      </c>
      <c r="O56" s="62" t="s">
        <v>11</v>
      </c>
      <c r="P56" s="141" t="s">
        <v>47</v>
      </c>
      <c r="Q56" s="143" t="s">
        <v>78</v>
      </c>
      <c r="R56" s="259" t="s">
        <v>11</v>
      </c>
      <c r="S56" s="143" t="s">
        <v>78</v>
      </c>
      <c r="T56" s="143" t="s">
        <v>78</v>
      </c>
      <c r="U56" s="62" t="s">
        <v>11</v>
      </c>
      <c r="V56" s="143" t="s">
        <v>78</v>
      </c>
      <c r="W56" s="143" t="s">
        <v>78</v>
      </c>
      <c r="X56" s="62" t="s">
        <v>11</v>
      </c>
      <c r="Y56" s="143" t="s">
        <v>78</v>
      </c>
      <c r="Z56" s="143" t="s">
        <v>78</v>
      </c>
      <c r="AA56" s="143" t="s">
        <v>78</v>
      </c>
      <c r="AB56" s="62" t="s">
        <v>56</v>
      </c>
      <c r="AC56" s="62" t="s">
        <v>11</v>
      </c>
      <c r="AD56" s="234" t="s">
        <v>78</v>
      </c>
      <c r="AE56" s="234" t="s">
        <v>78</v>
      </c>
      <c r="AF56" s="22" t="s">
        <v>8</v>
      </c>
      <c r="AG56" s="62" t="s">
        <v>11</v>
      </c>
      <c r="AH56" s="62"/>
      <c r="AI56" s="62"/>
      <c r="AJ56" s="62"/>
      <c r="AK56" s="62"/>
      <c r="AL56" s="62"/>
      <c r="AM56" s="62" t="s">
        <v>11</v>
      </c>
      <c r="AN56" s="62" t="s">
        <v>11</v>
      </c>
      <c r="AO56" s="62"/>
      <c r="AP56" s="11"/>
      <c r="AQ56" s="61"/>
      <c r="AR56" s="60"/>
      <c r="AS56" s="62"/>
    </row>
    <row r="57" spans="1:45">
      <c r="A57" s="293"/>
      <c r="B57" s="293"/>
      <c r="C57" s="293"/>
      <c r="D57" s="293"/>
      <c r="E57" s="338"/>
      <c r="F57" s="293"/>
      <c r="G57" s="336"/>
      <c r="H57" s="336"/>
      <c r="I57" s="336"/>
      <c r="J57" s="206" t="s">
        <v>252</v>
      </c>
      <c r="K57" s="232" t="s">
        <v>57</v>
      </c>
      <c r="L57" s="61" t="s">
        <v>11</v>
      </c>
      <c r="M57" s="60" t="s">
        <v>11</v>
      </c>
      <c r="N57" s="213" t="s">
        <v>251</v>
      </c>
      <c r="O57" s="62" t="s">
        <v>11</v>
      </c>
      <c r="P57" s="25" t="s">
        <v>15</v>
      </c>
      <c r="Q57" s="222" t="s">
        <v>253</v>
      </c>
      <c r="R57" s="259" t="s">
        <v>11</v>
      </c>
      <c r="S57" s="232" t="s">
        <v>57</v>
      </c>
      <c r="T57" s="232" t="s">
        <v>57</v>
      </c>
      <c r="U57" s="62" t="s">
        <v>11</v>
      </c>
      <c r="V57" s="277" t="s">
        <v>289</v>
      </c>
      <c r="W57" s="222" t="s">
        <v>253</v>
      </c>
      <c r="X57" s="62" t="s">
        <v>11</v>
      </c>
      <c r="Y57" s="143" t="s">
        <v>78</v>
      </c>
      <c r="Z57" s="143" t="s">
        <v>78</v>
      </c>
      <c r="AA57" s="222" t="s">
        <v>253</v>
      </c>
      <c r="AB57" s="62" t="s">
        <v>56</v>
      </c>
      <c r="AC57" s="62" t="s">
        <v>11</v>
      </c>
      <c r="AD57" s="234" t="s">
        <v>78</v>
      </c>
      <c r="AE57" s="234" t="s">
        <v>78</v>
      </c>
      <c r="AF57" s="34"/>
      <c r="AG57" s="62" t="s">
        <v>11</v>
      </c>
      <c r="AH57" s="62"/>
      <c r="AI57" s="62"/>
      <c r="AJ57" s="62"/>
      <c r="AK57" s="62"/>
      <c r="AL57" s="62"/>
      <c r="AM57" s="62" t="s">
        <v>11</v>
      </c>
      <c r="AN57" s="62" t="s">
        <v>11</v>
      </c>
      <c r="AO57" s="62"/>
      <c r="AP57" s="11"/>
      <c r="AQ57" s="61"/>
      <c r="AR57" s="60"/>
      <c r="AS57" s="62"/>
    </row>
    <row r="58" spans="1:45">
      <c r="A58" s="292">
        <v>15</v>
      </c>
      <c r="B58" s="292">
        <v>3</v>
      </c>
      <c r="C58" s="292"/>
      <c r="D58" s="292"/>
      <c r="E58" s="337" t="s">
        <v>176</v>
      </c>
      <c r="F58" s="292">
        <v>55</v>
      </c>
      <c r="G58" s="335">
        <v>20263533</v>
      </c>
      <c r="H58" s="335" t="s">
        <v>241</v>
      </c>
      <c r="I58" s="335" t="s">
        <v>242</v>
      </c>
      <c r="J58" s="39"/>
      <c r="K58" s="62" t="s">
        <v>11</v>
      </c>
      <c r="L58" s="61" t="s">
        <v>11</v>
      </c>
      <c r="M58" s="60"/>
      <c r="N58" s="115" t="s">
        <v>79</v>
      </c>
      <c r="O58" s="15" t="s">
        <v>16</v>
      </c>
      <c r="P58" s="141" t="s">
        <v>47</v>
      </c>
      <c r="Q58" s="62" t="s">
        <v>11</v>
      </c>
      <c r="R58" s="143" t="s">
        <v>78</v>
      </c>
      <c r="S58" s="62" t="s">
        <v>11</v>
      </c>
      <c r="T58" s="143" t="s">
        <v>78</v>
      </c>
      <c r="U58" s="143" t="s">
        <v>78</v>
      </c>
      <c r="V58" s="143" t="s">
        <v>78</v>
      </c>
      <c r="W58" s="62" t="s">
        <v>11</v>
      </c>
      <c r="X58" s="62" t="s">
        <v>11</v>
      </c>
      <c r="Y58" s="143" t="s">
        <v>78</v>
      </c>
      <c r="Z58" s="62" t="s">
        <v>56</v>
      </c>
      <c r="AA58" s="143" t="s">
        <v>78</v>
      </c>
      <c r="AB58" s="143" t="s">
        <v>78</v>
      </c>
      <c r="AC58" s="62" t="s">
        <v>11</v>
      </c>
      <c r="AD58" s="143" t="s">
        <v>78</v>
      </c>
      <c r="AE58" s="62" t="s">
        <v>11</v>
      </c>
      <c r="AF58" s="62" t="s">
        <v>11</v>
      </c>
      <c r="AG58" s="143" t="s">
        <v>78</v>
      </c>
      <c r="AH58" s="62"/>
      <c r="AI58" s="62"/>
      <c r="AJ58" s="62"/>
      <c r="AK58" s="62"/>
      <c r="AL58" s="62"/>
      <c r="AM58" s="62" t="s">
        <v>11</v>
      </c>
      <c r="AN58" s="62" t="s">
        <v>11</v>
      </c>
      <c r="AO58" s="22" t="s">
        <v>8</v>
      </c>
      <c r="AP58" s="11"/>
      <c r="AQ58" s="61"/>
      <c r="AR58" s="60"/>
      <c r="AS58" s="62"/>
    </row>
    <row r="59" spans="1:45">
      <c r="A59" s="293"/>
      <c r="B59" s="293"/>
      <c r="C59" s="293"/>
      <c r="D59" s="293"/>
      <c r="E59" s="338"/>
      <c r="F59" s="293"/>
      <c r="G59" s="336"/>
      <c r="H59" s="336"/>
      <c r="I59" s="336"/>
      <c r="J59" s="39"/>
      <c r="K59" s="62" t="s">
        <v>11</v>
      </c>
      <c r="L59" s="61" t="s">
        <v>11</v>
      </c>
      <c r="M59" s="60"/>
      <c r="N59" s="39" t="s">
        <v>37</v>
      </c>
      <c r="O59" s="20" t="s">
        <v>13</v>
      </c>
      <c r="P59" s="25" t="s">
        <v>15</v>
      </c>
      <c r="Q59" s="62" t="s">
        <v>11</v>
      </c>
      <c r="R59" s="232" t="s">
        <v>57</v>
      </c>
      <c r="S59" s="62" t="s">
        <v>11</v>
      </c>
      <c r="T59" s="211" t="s">
        <v>251</v>
      </c>
      <c r="U59" s="211" t="s">
        <v>251</v>
      </c>
      <c r="V59" s="232" t="s">
        <v>57</v>
      </c>
      <c r="W59" s="62" t="s">
        <v>11</v>
      </c>
      <c r="X59" s="62" t="s">
        <v>11</v>
      </c>
      <c r="Y59" s="143" t="s">
        <v>78</v>
      </c>
      <c r="Z59" s="62" t="s">
        <v>56</v>
      </c>
      <c r="AA59" s="222" t="s">
        <v>253</v>
      </c>
      <c r="AB59" s="143" t="s">
        <v>78</v>
      </c>
      <c r="AC59" s="62" t="s">
        <v>11</v>
      </c>
      <c r="AD59" s="143" t="s">
        <v>78</v>
      </c>
      <c r="AE59" s="62" t="s">
        <v>11</v>
      </c>
      <c r="AF59" s="62" t="s">
        <v>11</v>
      </c>
      <c r="AG59" s="143" t="s">
        <v>78</v>
      </c>
      <c r="AH59" s="62"/>
      <c r="AI59" s="62"/>
      <c r="AJ59" s="62"/>
      <c r="AK59" s="62"/>
      <c r="AL59" s="62"/>
      <c r="AM59" s="62" t="s">
        <v>11</v>
      </c>
      <c r="AN59" s="62" t="s">
        <v>11</v>
      </c>
      <c r="AO59" s="34"/>
      <c r="AP59" s="11"/>
      <c r="AQ59" s="61"/>
      <c r="AR59" s="60"/>
      <c r="AS59" s="62"/>
    </row>
    <row r="60" spans="1:45">
      <c r="A60" s="292">
        <v>16</v>
      </c>
      <c r="B60" s="292">
        <v>1</v>
      </c>
      <c r="C60" s="292"/>
      <c r="D60" s="292"/>
      <c r="E60" s="337" t="s">
        <v>176</v>
      </c>
      <c r="F60" s="292"/>
      <c r="G60" s="335">
        <v>20263555</v>
      </c>
      <c r="H60" s="335" t="s">
        <v>256</v>
      </c>
      <c r="I60" s="335" t="s">
        <v>243</v>
      </c>
      <c r="J60" s="100" t="s">
        <v>40</v>
      </c>
      <c r="K60" s="62" t="s">
        <v>11</v>
      </c>
      <c r="L60" s="61" t="s">
        <v>11</v>
      </c>
      <c r="M60" s="219" t="s">
        <v>78</v>
      </c>
      <c r="N60" s="143" t="s">
        <v>78</v>
      </c>
      <c r="O60" s="15" t="s">
        <v>16</v>
      </c>
      <c r="P60" s="141" t="s">
        <v>47</v>
      </c>
      <c r="Q60" s="143" t="s">
        <v>78</v>
      </c>
      <c r="R60" s="259" t="s">
        <v>11</v>
      </c>
      <c r="S60" s="259" t="s">
        <v>11</v>
      </c>
      <c r="T60" s="259" t="s">
        <v>11</v>
      </c>
      <c r="U60" s="143" t="s">
        <v>78</v>
      </c>
      <c r="V60" s="143" t="s">
        <v>78</v>
      </c>
      <c r="W60" s="62" t="s">
        <v>11</v>
      </c>
      <c r="X60" s="143" t="s">
        <v>78</v>
      </c>
      <c r="Y60" s="143" t="s">
        <v>78</v>
      </c>
      <c r="Z60" s="62" t="s">
        <v>56</v>
      </c>
      <c r="AA60" s="143" t="s">
        <v>78</v>
      </c>
      <c r="AB60" s="143" t="s">
        <v>78</v>
      </c>
      <c r="AC60" s="62" t="s">
        <v>11</v>
      </c>
      <c r="AD60" s="143" t="s">
        <v>78</v>
      </c>
      <c r="AE60" s="22" t="s">
        <v>8</v>
      </c>
      <c r="AF60" s="236" t="s">
        <v>11</v>
      </c>
      <c r="AG60" s="236" t="s">
        <v>11</v>
      </c>
      <c r="AH60" s="62"/>
      <c r="AI60" s="62"/>
      <c r="AJ60" s="62"/>
      <c r="AK60" s="62"/>
      <c r="AL60" s="62"/>
      <c r="AM60" s="62" t="s">
        <v>11</v>
      </c>
      <c r="AN60" s="236" t="s">
        <v>11</v>
      </c>
      <c r="AO60" s="62"/>
      <c r="AP60" s="11"/>
      <c r="AQ60" s="61"/>
      <c r="AR60" s="60"/>
      <c r="AS60" s="62"/>
    </row>
    <row r="61" spans="1:45">
      <c r="A61" s="293"/>
      <c r="B61" s="293"/>
      <c r="C61" s="293"/>
      <c r="D61" s="293"/>
      <c r="E61" s="338"/>
      <c r="F61" s="293"/>
      <c r="G61" s="336"/>
      <c r="H61" s="336"/>
      <c r="I61" s="336"/>
      <c r="J61" s="206" t="s">
        <v>252</v>
      </c>
      <c r="K61" s="62" t="s">
        <v>11</v>
      </c>
      <c r="L61" s="61" t="s">
        <v>11</v>
      </c>
      <c r="M61" s="220" t="s">
        <v>253</v>
      </c>
      <c r="N61" s="232" t="s">
        <v>57</v>
      </c>
      <c r="O61" s="20" t="s">
        <v>13</v>
      </c>
      <c r="P61" s="25" t="s">
        <v>15</v>
      </c>
      <c r="Q61" s="211" t="s">
        <v>251</v>
      </c>
      <c r="R61" s="259" t="s">
        <v>11</v>
      </c>
      <c r="S61" s="259" t="s">
        <v>11</v>
      </c>
      <c r="T61" s="259" t="s">
        <v>11</v>
      </c>
      <c r="U61" s="222" t="s">
        <v>253</v>
      </c>
      <c r="V61" s="232" t="s">
        <v>57</v>
      </c>
      <c r="W61" s="62" t="s">
        <v>11</v>
      </c>
      <c r="X61" s="211" t="s">
        <v>251</v>
      </c>
      <c r="Y61" s="143" t="s">
        <v>78</v>
      </c>
      <c r="Z61" s="62" t="s">
        <v>56</v>
      </c>
      <c r="AA61" s="143" t="s">
        <v>78</v>
      </c>
      <c r="AB61" s="143" t="s">
        <v>78</v>
      </c>
      <c r="AC61" s="62" t="s">
        <v>11</v>
      </c>
      <c r="AD61" s="143" t="s">
        <v>78</v>
      </c>
      <c r="AE61" s="34" t="s">
        <v>43</v>
      </c>
      <c r="AF61" s="236" t="s">
        <v>11</v>
      </c>
      <c r="AG61" s="236" t="s">
        <v>11</v>
      </c>
      <c r="AH61" s="62"/>
      <c r="AI61" s="62"/>
      <c r="AJ61" s="62"/>
      <c r="AK61" s="62"/>
      <c r="AL61" s="62"/>
      <c r="AM61" s="62" t="s">
        <v>11</v>
      </c>
      <c r="AN61" s="236" t="s">
        <v>11</v>
      </c>
      <c r="AO61" s="62"/>
      <c r="AP61" s="11"/>
      <c r="AQ61" s="61"/>
      <c r="AR61" s="60"/>
      <c r="AS61" s="62"/>
    </row>
    <row r="62" spans="1:45">
      <c r="A62" s="292">
        <v>17</v>
      </c>
      <c r="B62" s="292">
        <v>4</v>
      </c>
      <c r="C62" s="292"/>
      <c r="D62" s="292"/>
      <c r="E62" s="337" t="s">
        <v>176</v>
      </c>
      <c r="F62" s="292">
        <v>798</v>
      </c>
      <c r="G62" s="335">
        <v>20263514</v>
      </c>
      <c r="H62" s="369" t="s">
        <v>268</v>
      </c>
      <c r="I62" s="335" t="s">
        <v>267</v>
      </c>
      <c r="J62" s="39"/>
      <c r="K62" s="62" t="s">
        <v>11</v>
      </c>
      <c r="L62" s="61" t="s">
        <v>11</v>
      </c>
      <c r="M62" s="60"/>
      <c r="N62" s="11"/>
      <c r="O62" s="115" t="s">
        <v>79</v>
      </c>
      <c r="P62" s="141" t="s">
        <v>47</v>
      </c>
      <c r="Q62" s="62" t="s">
        <v>11</v>
      </c>
      <c r="R62" s="143" t="s">
        <v>78</v>
      </c>
      <c r="S62" s="143" t="s">
        <v>78</v>
      </c>
      <c r="T62" s="143" t="s">
        <v>78</v>
      </c>
      <c r="U62" s="143" t="s">
        <v>78</v>
      </c>
      <c r="V62" s="62" t="s">
        <v>11</v>
      </c>
      <c r="W62" s="62" t="s">
        <v>11</v>
      </c>
      <c r="X62" s="143" t="s">
        <v>78</v>
      </c>
      <c r="Y62" s="62" t="s">
        <v>11</v>
      </c>
      <c r="Z62" s="15" t="s">
        <v>16</v>
      </c>
      <c r="AA62" s="143" t="s">
        <v>78</v>
      </c>
      <c r="AB62" s="62" t="s">
        <v>11</v>
      </c>
      <c r="AC62" s="62" t="s">
        <v>11</v>
      </c>
      <c r="AD62" s="143" t="s">
        <v>78</v>
      </c>
      <c r="AE62" s="62" t="s">
        <v>11</v>
      </c>
      <c r="AF62" s="143" t="s">
        <v>78</v>
      </c>
      <c r="AG62" s="143" t="s">
        <v>78</v>
      </c>
      <c r="AH62" s="143" t="s">
        <v>78</v>
      </c>
      <c r="AI62" s="234" t="s">
        <v>78</v>
      </c>
      <c r="AJ62" s="62" t="s">
        <v>56</v>
      </c>
      <c r="AK62" s="62"/>
      <c r="AL62" s="62"/>
      <c r="AM62" s="62"/>
      <c r="AN62" s="62" t="s">
        <v>11</v>
      </c>
      <c r="AO62" s="62"/>
      <c r="AP62" s="11"/>
      <c r="AQ62" s="61"/>
      <c r="AR62" s="60"/>
      <c r="AS62" s="62"/>
    </row>
    <row r="63" spans="1:45">
      <c r="A63" s="293"/>
      <c r="B63" s="293"/>
      <c r="C63" s="293"/>
      <c r="D63" s="293"/>
      <c r="E63" s="338"/>
      <c r="F63" s="293"/>
      <c r="G63" s="336"/>
      <c r="H63" s="370"/>
      <c r="I63" s="336"/>
      <c r="J63" s="39"/>
      <c r="K63" s="62" t="s">
        <v>11</v>
      </c>
      <c r="L63" s="61" t="s">
        <v>11</v>
      </c>
      <c r="M63" s="60"/>
      <c r="N63" s="11"/>
      <c r="O63" s="39" t="s">
        <v>37</v>
      </c>
      <c r="P63" s="25" t="s">
        <v>15</v>
      </c>
      <c r="Q63" s="62" t="s">
        <v>11</v>
      </c>
      <c r="R63" s="232" t="s">
        <v>57</v>
      </c>
      <c r="S63" s="213" t="s">
        <v>251</v>
      </c>
      <c r="T63" s="211" t="s">
        <v>251</v>
      </c>
      <c r="U63" s="222" t="s">
        <v>253</v>
      </c>
      <c r="V63" s="62" t="s">
        <v>11</v>
      </c>
      <c r="W63" s="62" t="s">
        <v>11</v>
      </c>
      <c r="X63" s="211" t="s">
        <v>251</v>
      </c>
      <c r="Y63" s="62" t="s">
        <v>11</v>
      </c>
      <c r="Z63" s="20" t="s">
        <v>13</v>
      </c>
      <c r="AA63" s="232" t="s">
        <v>57</v>
      </c>
      <c r="AB63" s="62" t="s">
        <v>11</v>
      </c>
      <c r="AC63" s="62" t="s">
        <v>11</v>
      </c>
      <c r="AD63" s="143" t="s">
        <v>78</v>
      </c>
      <c r="AE63" s="62" t="s">
        <v>11</v>
      </c>
      <c r="AF63" s="143" t="s">
        <v>78</v>
      </c>
      <c r="AG63" s="143" t="s">
        <v>78</v>
      </c>
      <c r="AH63" s="143" t="s">
        <v>78</v>
      </c>
      <c r="AI63" s="234" t="s">
        <v>78</v>
      </c>
      <c r="AJ63" s="62" t="s">
        <v>56</v>
      </c>
      <c r="AK63" s="62"/>
      <c r="AL63" s="62"/>
      <c r="AM63" s="62"/>
      <c r="AN63" s="62" t="s">
        <v>11</v>
      </c>
      <c r="AO63" s="62"/>
      <c r="AP63" s="11"/>
      <c r="AQ63" s="61"/>
      <c r="AR63" s="60"/>
      <c r="AS63" s="62"/>
    </row>
    <row r="64" spans="1:45">
      <c r="A64" s="292">
        <v>18</v>
      </c>
      <c r="B64" s="292">
        <v>1</v>
      </c>
      <c r="C64" s="292"/>
      <c r="D64" s="292"/>
      <c r="E64" s="367" t="s">
        <v>176</v>
      </c>
      <c r="F64" s="292">
        <v>37</v>
      </c>
      <c r="G64" s="335">
        <v>20263536</v>
      </c>
      <c r="H64" s="369" t="s">
        <v>265</v>
      </c>
      <c r="I64" s="335" t="s">
        <v>266</v>
      </c>
      <c r="J64" s="39"/>
      <c r="K64" s="62" t="s">
        <v>11</v>
      </c>
      <c r="L64" s="61" t="s">
        <v>11</v>
      </c>
      <c r="M64" s="60"/>
      <c r="N64" s="11"/>
      <c r="P64" s="11"/>
      <c r="R64" s="62" t="s">
        <v>11</v>
      </c>
      <c r="S64" s="62" t="s">
        <v>11</v>
      </c>
      <c r="T64" s="11"/>
      <c r="U64" s="278"/>
      <c r="V64" s="279"/>
      <c r="W64" s="115" t="s">
        <v>79</v>
      </c>
      <c r="X64" s="62" t="s">
        <v>11</v>
      </c>
      <c r="Y64" s="259" t="s">
        <v>11</v>
      </c>
      <c r="Z64" s="15" t="s">
        <v>16</v>
      </c>
      <c r="AA64" s="143" t="s">
        <v>78</v>
      </c>
      <c r="AB64" s="141" t="s">
        <v>47</v>
      </c>
      <c r="AC64" s="62" t="s">
        <v>11</v>
      </c>
      <c r="AD64" s="143" t="s">
        <v>78</v>
      </c>
      <c r="AE64" s="62" t="s">
        <v>11</v>
      </c>
      <c r="AF64" s="143" t="s">
        <v>78</v>
      </c>
      <c r="AG64" s="143" t="s">
        <v>78</v>
      </c>
      <c r="AH64" s="143" t="s">
        <v>78</v>
      </c>
      <c r="AI64" s="143" t="s">
        <v>78</v>
      </c>
      <c r="AJ64" s="236" t="s">
        <v>56</v>
      </c>
      <c r="AK64" s="143" t="s">
        <v>78</v>
      </c>
      <c r="AL64" s="143" t="s">
        <v>78</v>
      </c>
      <c r="AM64" s="62" t="s">
        <v>11</v>
      </c>
      <c r="AN64" s="236" t="s">
        <v>11</v>
      </c>
      <c r="AO64" s="11"/>
      <c r="AP64" s="11"/>
      <c r="AQ64" s="61"/>
      <c r="AR64" s="60"/>
      <c r="AS64" s="62"/>
    </row>
    <row r="65" spans="1:45">
      <c r="A65" s="293"/>
      <c r="B65" s="293"/>
      <c r="C65" s="293"/>
      <c r="D65" s="293"/>
      <c r="E65" s="368"/>
      <c r="F65" s="293"/>
      <c r="G65" s="336"/>
      <c r="H65" s="370"/>
      <c r="I65" s="336"/>
      <c r="J65" s="39"/>
      <c r="K65" s="62" t="s">
        <v>11</v>
      </c>
      <c r="L65" s="61" t="s">
        <v>11</v>
      </c>
      <c r="M65" s="60"/>
      <c r="N65" s="11"/>
      <c r="O65" s="11"/>
      <c r="P65" s="162"/>
      <c r="Q65" s="11"/>
      <c r="R65" s="62" t="s">
        <v>11</v>
      </c>
      <c r="S65" s="62" t="s">
        <v>11</v>
      </c>
      <c r="T65" s="11"/>
      <c r="U65" s="280"/>
      <c r="V65" s="281"/>
      <c r="W65" s="39" t="s">
        <v>37</v>
      </c>
      <c r="X65" s="62" t="s">
        <v>11</v>
      </c>
      <c r="Y65" s="259" t="s">
        <v>11</v>
      </c>
      <c r="Z65" s="20" t="s">
        <v>13</v>
      </c>
      <c r="AA65" s="222" t="s">
        <v>253</v>
      </c>
      <c r="AB65" s="25" t="s">
        <v>15</v>
      </c>
      <c r="AC65" s="62" t="s">
        <v>11</v>
      </c>
      <c r="AD65" s="143" t="s">
        <v>78</v>
      </c>
      <c r="AE65" s="62" t="s">
        <v>11</v>
      </c>
      <c r="AF65" s="143" t="s">
        <v>78</v>
      </c>
      <c r="AG65" s="143" t="s">
        <v>78</v>
      </c>
      <c r="AH65" s="143" t="s">
        <v>78</v>
      </c>
      <c r="AI65" s="143" t="s">
        <v>78</v>
      </c>
      <c r="AJ65" s="236" t="s">
        <v>56</v>
      </c>
      <c r="AK65" s="143" t="s">
        <v>78</v>
      </c>
      <c r="AL65" s="143" t="s">
        <v>78</v>
      </c>
      <c r="AM65" s="62" t="s">
        <v>11</v>
      </c>
      <c r="AN65" s="236" t="s">
        <v>11</v>
      </c>
      <c r="AO65" s="11"/>
      <c r="AP65" s="11"/>
      <c r="AQ65" s="61"/>
      <c r="AR65" s="60"/>
      <c r="AS65" s="62"/>
    </row>
    <row r="66" spans="1:45">
      <c r="A66" s="292">
        <v>19</v>
      </c>
      <c r="B66" s="292">
        <v>1</v>
      </c>
      <c r="C66" s="292"/>
      <c r="D66" s="292"/>
      <c r="E66" s="337" t="s">
        <v>176</v>
      </c>
      <c r="F66" s="292">
        <v>321</v>
      </c>
      <c r="G66" s="335">
        <v>20263573</v>
      </c>
      <c r="H66" s="335" t="s">
        <v>263</v>
      </c>
      <c r="I66" s="335" t="s">
        <v>264</v>
      </c>
      <c r="J66" s="39"/>
      <c r="K66" s="62" t="s">
        <v>11</v>
      </c>
      <c r="L66" s="61" t="s">
        <v>11</v>
      </c>
      <c r="M66" s="60"/>
      <c r="N66" s="11"/>
      <c r="O66" s="11"/>
      <c r="P66" s="115" t="s">
        <v>79</v>
      </c>
      <c r="Q66" s="62" t="s">
        <v>11</v>
      </c>
      <c r="R66" s="143" t="s">
        <v>78</v>
      </c>
      <c r="S66" s="143" t="s">
        <v>78</v>
      </c>
      <c r="T66" s="143" t="s">
        <v>78</v>
      </c>
      <c r="U66" s="62" t="s">
        <v>11</v>
      </c>
      <c r="V66" s="143" t="s">
        <v>78</v>
      </c>
      <c r="W66" s="62" t="s">
        <v>11</v>
      </c>
      <c r="X66" s="259" t="s">
        <v>11</v>
      </c>
      <c r="Y66" s="143" t="s">
        <v>78</v>
      </c>
      <c r="Z66" s="15" t="s">
        <v>16</v>
      </c>
      <c r="AA66" s="143" t="s">
        <v>78</v>
      </c>
      <c r="AB66" s="141" t="s">
        <v>47</v>
      </c>
      <c r="AC66" s="62" t="s">
        <v>11</v>
      </c>
      <c r="AD66" s="143" t="s">
        <v>78</v>
      </c>
      <c r="AE66" s="62" t="s">
        <v>11</v>
      </c>
      <c r="AF66" s="62" t="s">
        <v>11</v>
      </c>
      <c r="AG66" s="143" t="s">
        <v>78</v>
      </c>
      <c r="AH66" s="143" t="s">
        <v>78</v>
      </c>
      <c r="AI66" s="143" t="s">
        <v>78</v>
      </c>
      <c r="AJ66" s="62" t="s">
        <v>56</v>
      </c>
      <c r="AK66" s="62"/>
      <c r="AL66" s="62"/>
      <c r="AM66" s="62"/>
      <c r="AN66" s="62" t="s">
        <v>11</v>
      </c>
      <c r="AO66" s="62"/>
      <c r="AP66" s="11"/>
      <c r="AQ66" s="61"/>
      <c r="AR66" s="60"/>
      <c r="AS66" s="62"/>
    </row>
    <row r="67" spans="1:45">
      <c r="A67" s="293"/>
      <c r="B67" s="293"/>
      <c r="C67" s="293"/>
      <c r="D67" s="293"/>
      <c r="E67" s="338"/>
      <c r="F67" s="293"/>
      <c r="G67" s="336"/>
      <c r="H67" s="336"/>
      <c r="I67" s="336"/>
      <c r="J67" s="39"/>
      <c r="K67" s="62" t="s">
        <v>11</v>
      </c>
      <c r="L67" s="61" t="s">
        <v>11</v>
      </c>
      <c r="N67" s="11"/>
      <c r="P67" s="228" t="s">
        <v>37</v>
      </c>
      <c r="Q67" s="62" t="s">
        <v>11</v>
      </c>
      <c r="R67" s="232" t="s">
        <v>57</v>
      </c>
      <c r="S67" s="213" t="s">
        <v>251</v>
      </c>
      <c r="T67" s="232" t="s">
        <v>57</v>
      </c>
      <c r="U67" s="62" t="s">
        <v>11</v>
      </c>
      <c r="V67" s="232" t="s">
        <v>57</v>
      </c>
      <c r="W67" s="62" t="s">
        <v>11</v>
      </c>
      <c r="X67" s="259" t="s">
        <v>11</v>
      </c>
      <c r="Y67" s="143" t="s">
        <v>78</v>
      </c>
      <c r="Z67" s="20" t="s">
        <v>13</v>
      </c>
      <c r="AA67" s="143" t="s">
        <v>78</v>
      </c>
      <c r="AB67" s="25" t="s">
        <v>15</v>
      </c>
      <c r="AC67" s="62" t="s">
        <v>11</v>
      </c>
      <c r="AD67" s="143" t="s">
        <v>78</v>
      </c>
      <c r="AE67" s="62" t="s">
        <v>11</v>
      </c>
      <c r="AF67" s="62" t="s">
        <v>11</v>
      </c>
      <c r="AG67" s="143" t="s">
        <v>78</v>
      </c>
      <c r="AH67" s="143" t="s">
        <v>78</v>
      </c>
      <c r="AI67" s="143" t="s">
        <v>78</v>
      </c>
      <c r="AJ67" s="62" t="s">
        <v>56</v>
      </c>
      <c r="AK67" s="62"/>
      <c r="AL67" s="62"/>
      <c r="AM67" s="62"/>
      <c r="AN67" s="62" t="s">
        <v>11</v>
      </c>
      <c r="AO67" s="62"/>
      <c r="AP67" s="11"/>
      <c r="AQ67" s="61"/>
      <c r="AR67" s="60"/>
      <c r="AS67" s="62"/>
    </row>
    <row r="68" spans="1:45">
      <c r="A68" s="292">
        <v>20</v>
      </c>
      <c r="B68" s="292">
        <v>2</v>
      </c>
      <c r="C68" s="292"/>
      <c r="D68" s="292"/>
      <c r="E68" s="337" t="s">
        <v>176</v>
      </c>
      <c r="F68" s="292">
        <v>299</v>
      </c>
      <c r="G68" s="335">
        <v>20263553</v>
      </c>
      <c r="H68" s="335" t="s">
        <v>261</v>
      </c>
      <c r="I68" s="335" t="s">
        <v>262</v>
      </c>
      <c r="J68" s="39"/>
      <c r="K68" s="62" t="s">
        <v>11</v>
      </c>
      <c r="L68" s="61" t="s">
        <v>11</v>
      </c>
      <c r="M68" s="60"/>
      <c r="N68" s="11"/>
      <c r="O68" s="11"/>
      <c r="P68" s="162"/>
      <c r="Q68" s="115" t="s">
        <v>79</v>
      </c>
      <c r="R68" s="143" t="s">
        <v>78</v>
      </c>
      <c r="S68" s="62" t="s">
        <v>11</v>
      </c>
      <c r="T68" s="143" t="s">
        <v>78</v>
      </c>
      <c r="U68" s="62" t="s">
        <v>11</v>
      </c>
      <c r="V68" s="143" t="s">
        <v>78</v>
      </c>
      <c r="W68" s="143" t="s">
        <v>78</v>
      </c>
      <c r="X68" s="62" t="s">
        <v>11</v>
      </c>
      <c r="Y68" s="143" t="s">
        <v>78</v>
      </c>
      <c r="Z68" s="15" t="s">
        <v>16</v>
      </c>
      <c r="AA68" s="62" t="s">
        <v>11</v>
      </c>
      <c r="AB68" s="141" t="s">
        <v>47</v>
      </c>
      <c r="AC68" s="62" t="s">
        <v>11</v>
      </c>
      <c r="AD68" s="143" t="s">
        <v>78</v>
      </c>
      <c r="AE68" s="62" t="s">
        <v>11</v>
      </c>
      <c r="AF68" s="143" t="s">
        <v>78</v>
      </c>
      <c r="AG68" s="143" t="s">
        <v>78</v>
      </c>
      <c r="AH68" s="62" t="s">
        <v>56</v>
      </c>
      <c r="AI68" s="143" t="s">
        <v>78</v>
      </c>
      <c r="AJ68" s="143" t="s">
        <v>78</v>
      </c>
      <c r="AK68" s="62" t="s">
        <v>11</v>
      </c>
      <c r="AL68" s="143" t="s">
        <v>78</v>
      </c>
      <c r="AM68" s="143" t="s">
        <v>78</v>
      </c>
      <c r="AN68" s="143" t="s">
        <v>78</v>
      </c>
      <c r="AO68" s="62"/>
      <c r="AP68" s="11"/>
      <c r="AQ68" s="61"/>
      <c r="AR68" s="60"/>
      <c r="AS68" s="62"/>
    </row>
    <row r="69" spans="1:45">
      <c r="A69" s="293"/>
      <c r="B69" s="293"/>
      <c r="C69" s="293"/>
      <c r="D69" s="293"/>
      <c r="E69" s="338"/>
      <c r="F69" s="293"/>
      <c r="G69" s="336"/>
      <c r="H69" s="336"/>
      <c r="I69" s="336"/>
      <c r="J69" s="39"/>
      <c r="K69" s="62" t="s">
        <v>11</v>
      </c>
      <c r="L69" s="62" t="s">
        <v>11</v>
      </c>
      <c r="M69" s="60"/>
      <c r="O69" s="11"/>
      <c r="P69" s="162"/>
      <c r="Q69" s="39" t="s">
        <v>37</v>
      </c>
      <c r="R69" s="232" t="s">
        <v>57</v>
      </c>
      <c r="S69" s="62" t="s">
        <v>11</v>
      </c>
      <c r="T69" s="211" t="s">
        <v>251</v>
      </c>
      <c r="U69" s="62" t="s">
        <v>11</v>
      </c>
      <c r="V69" s="277" t="s">
        <v>289</v>
      </c>
      <c r="W69" s="222" t="s">
        <v>253</v>
      </c>
      <c r="X69" s="62" t="s">
        <v>11</v>
      </c>
      <c r="Y69" s="143" t="s">
        <v>78</v>
      </c>
      <c r="Z69" s="20" t="s">
        <v>13</v>
      </c>
      <c r="AA69" s="62" t="s">
        <v>11</v>
      </c>
      <c r="AB69" s="25" t="s">
        <v>15</v>
      </c>
      <c r="AC69" s="62" t="s">
        <v>11</v>
      </c>
      <c r="AD69" s="143" t="s">
        <v>78</v>
      </c>
      <c r="AE69" s="62" t="s">
        <v>11</v>
      </c>
      <c r="AF69" s="143" t="s">
        <v>78</v>
      </c>
      <c r="AG69" s="143" t="s">
        <v>78</v>
      </c>
      <c r="AH69" s="62" t="s">
        <v>56</v>
      </c>
      <c r="AI69" s="143" t="s">
        <v>78</v>
      </c>
      <c r="AJ69" s="143" t="s">
        <v>78</v>
      </c>
      <c r="AK69" s="62" t="s">
        <v>11</v>
      </c>
      <c r="AL69" s="143" t="s">
        <v>78</v>
      </c>
      <c r="AM69" s="143" t="s">
        <v>78</v>
      </c>
      <c r="AN69" s="143" t="s">
        <v>78</v>
      </c>
      <c r="AO69" s="62"/>
      <c r="AP69" s="11"/>
      <c r="AQ69" s="61"/>
      <c r="AR69" s="60"/>
      <c r="AS69" s="62"/>
    </row>
    <row r="70" spans="1:45" ht="15" customHeight="1">
      <c r="A70" s="292">
        <v>21</v>
      </c>
      <c r="B70" s="292">
        <v>3</v>
      </c>
      <c r="C70" s="292"/>
      <c r="D70" s="292"/>
      <c r="E70" s="367" t="s">
        <v>176</v>
      </c>
      <c r="F70" s="292">
        <v>6</v>
      </c>
      <c r="G70" s="335">
        <v>20263562</v>
      </c>
      <c r="H70" s="335" t="s">
        <v>259</v>
      </c>
      <c r="I70" s="335" t="s">
        <v>260</v>
      </c>
      <c r="J70" s="65"/>
      <c r="K70" s="62" t="s">
        <v>11</v>
      </c>
      <c r="L70" s="62" t="s">
        <v>11</v>
      </c>
      <c r="M70" s="60"/>
      <c r="N70" s="62"/>
      <c r="O70" s="11"/>
      <c r="P70" s="162"/>
      <c r="Q70" s="11"/>
      <c r="R70" s="62" t="s">
        <v>11</v>
      </c>
      <c r="S70" s="62" t="s">
        <v>11</v>
      </c>
      <c r="T70" s="11"/>
      <c r="U70" s="115" t="s">
        <v>79</v>
      </c>
      <c r="V70" s="143" t="s">
        <v>78</v>
      </c>
      <c r="W70" s="62" t="s">
        <v>11</v>
      </c>
      <c r="X70" s="62" t="s">
        <v>11</v>
      </c>
      <c r="Y70" s="143" t="s">
        <v>78</v>
      </c>
      <c r="Z70" s="15" t="s">
        <v>16</v>
      </c>
      <c r="AA70" s="143" t="s">
        <v>78</v>
      </c>
      <c r="AB70" s="141" t="s">
        <v>47</v>
      </c>
      <c r="AC70" s="62" t="s">
        <v>11</v>
      </c>
      <c r="AD70" s="143" t="s">
        <v>78</v>
      </c>
      <c r="AE70" s="62" t="s">
        <v>11</v>
      </c>
      <c r="AF70" s="143" t="s">
        <v>78</v>
      </c>
      <c r="AG70" s="143" t="s">
        <v>78</v>
      </c>
      <c r="AH70" s="143" t="s">
        <v>78</v>
      </c>
      <c r="AI70" s="143" t="s">
        <v>78</v>
      </c>
      <c r="AJ70" s="62" t="s">
        <v>56</v>
      </c>
      <c r="AK70" s="143" t="s">
        <v>78</v>
      </c>
      <c r="AL70" s="143" t="s">
        <v>78</v>
      </c>
      <c r="AM70" s="62" t="s">
        <v>11</v>
      </c>
      <c r="AN70" s="62" t="s">
        <v>11</v>
      </c>
      <c r="AO70" s="143" t="s">
        <v>78</v>
      </c>
      <c r="AP70" s="11"/>
      <c r="AQ70" s="61"/>
      <c r="AR70" s="60"/>
      <c r="AS70" s="62"/>
    </row>
    <row r="71" spans="1:45" ht="15" customHeight="1">
      <c r="A71" s="293"/>
      <c r="B71" s="293"/>
      <c r="C71" s="293"/>
      <c r="D71" s="293"/>
      <c r="E71" s="368"/>
      <c r="F71" s="293"/>
      <c r="G71" s="336"/>
      <c r="H71" s="336"/>
      <c r="I71" s="336"/>
      <c r="J71" s="184"/>
      <c r="K71" s="62" t="s">
        <v>11</v>
      </c>
      <c r="L71" s="62" t="s">
        <v>11</v>
      </c>
      <c r="M71" s="60"/>
      <c r="N71" s="62"/>
      <c r="O71" s="11"/>
      <c r="P71" s="162"/>
      <c r="Q71" s="11"/>
      <c r="R71" s="62" t="s">
        <v>11</v>
      </c>
      <c r="S71" s="62" t="s">
        <v>11</v>
      </c>
      <c r="T71" s="11"/>
      <c r="U71" s="39" t="s">
        <v>37</v>
      </c>
      <c r="V71" s="232" t="s">
        <v>57</v>
      </c>
      <c r="W71" s="62" t="s">
        <v>11</v>
      </c>
      <c r="X71" s="62" t="s">
        <v>11</v>
      </c>
      <c r="Y71" s="143" t="s">
        <v>78</v>
      </c>
      <c r="Z71" s="20" t="s">
        <v>13</v>
      </c>
      <c r="AA71" s="232" t="s">
        <v>57</v>
      </c>
      <c r="AB71" s="25" t="s">
        <v>15</v>
      </c>
      <c r="AC71" s="62" t="s">
        <v>11</v>
      </c>
      <c r="AD71" s="143" t="s">
        <v>78</v>
      </c>
      <c r="AE71" s="62" t="s">
        <v>11</v>
      </c>
      <c r="AF71" s="143" t="s">
        <v>78</v>
      </c>
      <c r="AG71" s="143" t="s">
        <v>78</v>
      </c>
      <c r="AH71" s="143" t="s">
        <v>78</v>
      </c>
      <c r="AI71" s="143" t="s">
        <v>78</v>
      </c>
      <c r="AJ71" s="62" t="s">
        <v>56</v>
      </c>
      <c r="AK71" s="143" t="s">
        <v>78</v>
      </c>
      <c r="AL71" s="143" t="s">
        <v>78</v>
      </c>
      <c r="AM71" s="62" t="s">
        <v>11</v>
      </c>
      <c r="AN71" s="62" t="s">
        <v>11</v>
      </c>
      <c r="AO71" s="143" t="s">
        <v>78</v>
      </c>
      <c r="AP71" s="11"/>
      <c r="AQ71" s="61"/>
      <c r="AR71" s="60"/>
      <c r="AS71" s="62"/>
    </row>
    <row r="72" spans="1:45" ht="15" customHeight="1" thickBot="1">
      <c r="A72" s="292">
        <v>22</v>
      </c>
      <c r="B72" s="371">
        <v>3</v>
      </c>
      <c r="C72" s="371"/>
      <c r="D72" s="371"/>
      <c r="E72" s="373" t="s">
        <v>176</v>
      </c>
      <c r="F72" s="371"/>
      <c r="G72" s="373">
        <v>20263535</v>
      </c>
      <c r="H72" s="373" t="s">
        <v>258</v>
      </c>
      <c r="I72" s="373" t="s">
        <v>269</v>
      </c>
      <c r="J72" s="65"/>
      <c r="K72" s="62" t="s">
        <v>11</v>
      </c>
      <c r="L72" s="62" t="s">
        <v>11</v>
      </c>
      <c r="M72" s="60"/>
      <c r="N72" s="11"/>
      <c r="O72" s="11"/>
      <c r="P72" s="11"/>
      <c r="Q72" s="11"/>
      <c r="R72" s="62" t="s">
        <v>11</v>
      </c>
      <c r="S72" s="62" t="s">
        <v>11</v>
      </c>
      <c r="T72" s="11"/>
      <c r="U72" s="11"/>
      <c r="V72" s="11"/>
      <c r="W72" s="11"/>
      <c r="X72" s="11"/>
      <c r="Y72" s="62" t="s">
        <v>11</v>
      </c>
      <c r="Z72" s="62" t="s">
        <v>11</v>
      </c>
      <c r="AA72" s="11"/>
      <c r="AB72" s="275" t="s">
        <v>290</v>
      </c>
      <c r="AC72" s="62"/>
      <c r="AD72" s="62"/>
      <c r="AE72" s="115" t="s">
        <v>79</v>
      </c>
      <c r="AF72" s="143" t="s">
        <v>78</v>
      </c>
      <c r="AG72" s="143" t="s">
        <v>78</v>
      </c>
      <c r="AH72" s="62" t="s">
        <v>56</v>
      </c>
      <c r="AI72" s="143" t="s">
        <v>78</v>
      </c>
      <c r="AJ72" s="143" t="s">
        <v>78</v>
      </c>
      <c r="AK72" s="143" t="s">
        <v>78</v>
      </c>
      <c r="AL72" s="62" t="s">
        <v>11</v>
      </c>
      <c r="AM72" s="143" t="s">
        <v>78</v>
      </c>
      <c r="AN72" s="143" t="s">
        <v>78</v>
      </c>
      <c r="AO72" s="143" t="s">
        <v>78</v>
      </c>
      <c r="AP72" s="143" t="s">
        <v>78</v>
      </c>
      <c r="AQ72" s="154" t="s">
        <v>78</v>
      </c>
      <c r="AR72" s="219" t="s">
        <v>78</v>
      </c>
      <c r="AS72" s="143" t="s">
        <v>78</v>
      </c>
    </row>
    <row r="73" spans="1:45" ht="15.6" customHeight="1" thickTop="1" thickBot="1">
      <c r="A73" s="293"/>
      <c r="B73" s="372"/>
      <c r="C73" s="372"/>
      <c r="D73" s="372"/>
      <c r="E73" s="374"/>
      <c r="F73" s="372"/>
      <c r="G73" s="374"/>
      <c r="H73" s="374"/>
      <c r="I73" s="374"/>
      <c r="J73" s="185"/>
      <c r="K73" s="65" t="s">
        <v>11</v>
      </c>
      <c r="L73" s="65" t="s">
        <v>11</v>
      </c>
      <c r="M73" s="77"/>
      <c r="N73" s="80"/>
      <c r="O73" s="7"/>
      <c r="Q73" s="7"/>
      <c r="R73" s="62" t="s">
        <v>11</v>
      </c>
      <c r="S73" s="62" t="s">
        <v>11</v>
      </c>
      <c r="T73" s="7"/>
      <c r="U73" s="7"/>
      <c r="V73" s="7"/>
      <c r="W73" s="7"/>
      <c r="X73" s="7"/>
      <c r="Y73" s="65" t="s">
        <v>11</v>
      </c>
      <c r="Z73" s="65" t="s">
        <v>11</v>
      </c>
      <c r="AA73" s="7"/>
      <c r="AB73" s="7"/>
      <c r="AC73" s="62"/>
      <c r="AD73" s="62"/>
      <c r="AE73" s="44" t="s">
        <v>37</v>
      </c>
      <c r="AF73" s="238" t="s">
        <v>78</v>
      </c>
      <c r="AG73" s="238" t="s">
        <v>78</v>
      </c>
      <c r="AH73" s="65" t="s">
        <v>56</v>
      </c>
      <c r="AI73" s="238" t="s">
        <v>78</v>
      </c>
      <c r="AJ73" s="238" t="s">
        <v>78</v>
      </c>
      <c r="AK73" s="238" t="s">
        <v>78</v>
      </c>
      <c r="AL73" s="65" t="s">
        <v>11</v>
      </c>
      <c r="AM73" s="143" t="s">
        <v>78</v>
      </c>
      <c r="AN73" s="238" t="s">
        <v>78</v>
      </c>
      <c r="AO73" s="238" t="s">
        <v>78</v>
      </c>
      <c r="AP73" s="238" t="s">
        <v>78</v>
      </c>
      <c r="AQ73" s="239" t="s">
        <v>78</v>
      </c>
      <c r="AR73" s="237" t="s">
        <v>78</v>
      </c>
      <c r="AS73" s="238" t="s">
        <v>78</v>
      </c>
    </row>
    <row r="74" spans="1:45" ht="15.6" customHeight="1" thickTop="1">
      <c r="A74" s="292">
        <v>3</v>
      </c>
      <c r="B74" s="292">
        <v>3</v>
      </c>
      <c r="C74" s="292"/>
      <c r="D74" s="292"/>
      <c r="E74" s="292"/>
      <c r="F74" s="292">
        <v>134</v>
      </c>
      <c r="G74" s="335">
        <v>20262132</v>
      </c>
      <c r="H74" s="335" t="s">
        <v>164</v>
      </c>
      <c r="I74" s="335" t="s">
        <v>165</v>
      </c>
      <c r="J74" s="157" t="s">
        <v>249</v>
      </c>
      <c r="K74" s="92" t="s">
        <v>11</v>
      </c>
      <c r="L74" s="79" t="s">
        <v>11</v>
      </c>
      <c r="M74" s="221" t="s">
        <v>78</v>
      </c>
      <c r="N74" s="143" t="s">
        <v>78</v>
      </c>
      <c r="O74" s="94" t="s">
        <v>16</v>
      </c>
      <c r="P74" s="161" t="s">
        <v>47</v>
      </c>
      <c r="Q74" s="92" t="s">
        <v>11</v>
      </c>
      <c r="R74" s="143" t="s">
        <v>78</v>
      </c>
      <c r="S74" s="92" t="s">
        <v>11</v>
      </c>
      <c r="T74" s="143" t="s">
        <v>78</v>
      </c>
      <c r="U74" s="22" t="s">
        <v>8</v>
      </c>
      <c r="V74" s="78"/>
      <c r="W74" s="78"/>
      <c r="X74" s="92"/>
      <c r="Y74" s="78"/>
      <c r="Z74" s="78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79"/>
      <c r="AR74" s="91"/>
      <c r="AS74" s="92"/>
    </row>
    <row r="75" spans="1:45" ht="15.6" customHeight="1">
      <c r="A75" s="293"/>
      <c r="B75" s="293"/>
      <c r="C75" s="293"/>
      <c r="D75" s="293"/>
      <c r="E75" s="293"/>
      <c r="F75" s="293"/>
      <c r="G75" s="336"/>
      <c r="H75" s="336"/>
      <c r="I75" s="336"/>
      <c r="J75" s="39" t="s">
        <v>37</v>
      </c>
      <c r="K75" s="62" t="s">
        <v>11</v>
      </c>
      <c r="L75" s="61" t="s">
        <v>11</v>
      </c>
      <c r="M75" s="220" t="s">
        <v>253</v>
      </c>
      <c r="N75" s="232" t="s">
        <v>57</v>
      </c>
      <c r="O75" s="20" t="s">
        <v>13</v>
      </c>
      <c r="P75" s="25" t="s">
        <v>15</v>
      </c>
      <c r="Q75" s="62" t="s">
        <v>11</v>
      </c>
      <c r="R75" s="211" t="s">
        <v>251</v>
      </c>
      <c r="S75" s="62" t="s">
        <v>11</v>
      </c>
      <c r="T75" s="232" t="s">
        <v>57</v>
      </c>
      <c r="U75" s="34" t="s">
        <v>91</v>
      </c>
      <c r="V75" s="11"/>
      <c r="W75" s="11"/>
      <c r="X75" s="62"/>
      <c r="Y75" s="11"/>
      <c r="Z75" s="11"/>
      <c r="AA75" s="18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1"/>
      <c r="AR75" s="60"/>
      <c r="AS75" s="62"/>
    </row>
    <row r="76" spans="1:45" ht="15.6" thickBot="1">
      <c r="A76" s="388">
        <v>23</v>
      </c>
      <c r="B76" s="389">
        <v>4</v>
      </c>
      <c r="C76" s="389"/>
      <c r="D76" s="389"/>
      <c r="E76" s="389"/>
      <c r="F76" s="389">
        <v>549</v>
      </c>
      <c r="G76" s="395">
        <v>20262157</v>
      </c>
      <c r="H76" s="395" t="s">
        <v>195</v>
      </c>
      <c r="I76" s="395" t="s">
        <v>196</v>
      </c>
      <c r="J76" s="185"/>
      <c r="K76" s="184" t="s">
        <v>11</v>
      </c>
      <c r="L76" s="243" t="s">
        <v>11</v>
      </c>
      <c r="M76" s="244"/>
      <c r="N76" s="245" t="s">
        <v>79</v>
      </c>
      <c r="O76" s="240" t="s">
        <v>16</v>
      </c>
      <c r="P76" s="241" t="s">
        <v>47</v>
      </c>
      <c r="Q76" s="184" t="s">
        <v>11</v>
      </c>
      <c r="R76" s="242" t="s">
        <v>78</v>
      </c>
      <c r="S76" s="242" t="s">
        <v>78</v>
      </c>
      <c r="T76" s="184" t="s">
        <v>11</v>
      </c>
      <c r="U76" s="242" t="s">
        <v>78</v>
      </c>
      <c r="V76" s="242" t="s">
        <v>78</v>
      </c>
      <c r="W76" s="184" t="s">
        <v>11</v>
      </c>
      <c r="X76" s="22" t="s">
        <v>8</v>
      </c>
      <c r="Y76" s="182"/>
      <c r="Z76" s="182"/>
      <c r="AB76" s="182"/>
      <c r="AC76" s="182"/>
      <c r="AD76" s="182" t="s">
        <v>11</v>
      </c>
      <c r="AE76" s="182"/>
      <c r="AF76" s="182"/>
      <c r="AG76" s="182"/>
      <c r="AH76" s="182"/>
      <c r="AI76" s="182" t="s">
        <v>11</v>
      </c>
      <c r="AJ76" s="182"/>
      <c r="AK76" s="182"/>
      <c r="AL76" s="182"/>
      <c r="AM76" s="182"/>
      <c r="AN76" s="182" t="s">
        <v>11</v>
      </c>
      <c r="AO76" s="182"/>
      <c r="AP76" s="182"/>
      <c r="AQ76" s="243"/>
      <c r="AR76" s="244"/>
      <c r="AS76" s="184"/>
    </row>
    <row r="77" spans="1:45" ht="15.6" thickTop="1">
      <c r="A77" s="293"/>
      <c r="B77" s="390"/>
      <c r="C77" s="390"/>
      <c r="D77" s="390"/>
      <c r="E77" s="390"/>
      <c r="F77" s="390"/>
      <c r="G77" s="396"/>
      <c r="H77" s="396"/>
      <c r="I77" s="396"/>
      <c r="J77" s="182"/>
      <c r="K77" s="11" t="s">
        <v>11</v>
      </c>
      <c r="L77" s="61" t="s">
        <v>11</v>
      </c>
      <c r="M77" s="62"/>
      <c r="N77" s="39" t="s">
        <v>37</v>
      </c>
      <c r="O77" s="20" t="s">
        <v>13</v>
      </c>
      <c r="P77" s="25" t="s">
        <v>15</v>
      </c>
      <c r="Q77" s="62" t="s">
        <v>11</v>
      </c>
      <c r="R77" s="213" t="s">
        <v>251</v>
      </c>
      <c r="S77" s="232" t="s">
        <v>57</v>
      </c>
      <c r="T77" s="62" t="s">
        <v>11</v>
      </c>
      <c r="U77" s="213" t="s">
        <v>251</v>
      </c>
      <c r="V77" s="222" t="s">
        <v>253</v>
      </c>
      <c r="W77" s="62" t="s">
        <v>11</v>
      </c>
      <c r="X77" s="34" t="s">
        <v>54</v>
      </c>
      <c r="Y77" s="11"/>
      <c r="Z77" s="11"/>
      <c r="AA77" s="11"/>
      <c r="AB77" s="11"/>
      <c r="AC77" s="11"/>
      <c r="AD77" s="62" t="s">
        <v>11</v>
      </c>
      <c r="AE77" s="11"/>
      <c r="AF77" s="11"/>
      <c r="AG77" s="11"/>
      <c r="AH77" s="11"/>
      <c r="AI77" s="62" t="s">
        <v>11</v>
      </c>
      <c r="AJ77" s="11"/>
      <c r="AK77" s="11"/>
      <c r="AL77" s="11"/>
      <c r="AM77" s="11"/>
      <c r="AN77" s="62" t="s">
        <v>11</v>
      </c>
      <c r="AO77" s="11"/>
      <c r="AP77" s="62"/>
      <c r="AQ77" s="61"/>
      <c r="AR77" s="60"/>
      <c r="AS77" s="62"/>
    </row>
    <row r="78" spans="1:45">
      <c r="A78" s="292">
        <v>24</v>
      </c>
      <c r="B78" s="292">
        <v>1</v>
      </c>
      <c r="C78" s="292"/>
      <c r="D78" s="292"/>
      <c r="E78" s="292"/>
      <c r="F78" s="292">
        <v>171</v>
      </c>
      <c r="G78" s="335">
        <v>20262164</v>
      </c>
      <c r="H78" s="369" t="s">
        <v>200</v>
      </c>
      <c r="I78" s="335" t="s">
        <v>199</v>
      </c>
      <c r="J78" s="7"/>
      <c r="K78" s="11" t="s">
        <v>11</v>
      </c>
      <c r="L78" s="61" t="s">
        <v>11</v>
      </c>
      <c r="M78" s="62"/>
      <c r="N78" s="115" t="s">
        <v>79</v>
      </c>
      <c r="O78" s="15" t="s">
        <v>16</v>
      </c>
      <c r="P78" s="141" t="s">
        <v>47</v>
      </c>
      <c r="Q78" s="62" t="s">
        <v>11</v>
      </c>
      <c r="R78" s="143" t="s">
        <v>78</v>
      </c>
      <c r="S78" s="143" t="s">
        <v>78</v>
      </c>
      <c r="T78" s="62" t="s">
        <v>11</v>
      </c>
      <c r="U78" s="143" t="s">
        <v>78</v>
      </c>
      <c r="V78" s="143" t="s">
        <v>78</v>
      </c>
      <c r="W78" s="62" t="s">
        <v>11</v>
      </c>
      <c r="X78" s="143" t="s">
        <v>78</v>
      </c>
      <c r="Y78" s="62" t="s">
        <v>11</v>
      </c>
      <c r="Z78" s="234" t="s">
        <v>78</v>
      </c>
      <c r="AA78" s="234" t="s">
        <v>78</v>
      </c>
      <c r="AB78" s="62" t="s">
        <v>11</v>
      </c>
      <c r="AC78" s="62" t="s">
        <v>11</v>
      </c>
      <c r="AD78" s="234" t="s">
        <v>78</v>
      </c>
      <c r="AF78" s="11"/>
      <c r="AG78" s="11"/>
      <c r="AH78" s="62" t="s">
        <v>11</v>
      </c>
      <c r="AI78" s="11"/>
      <c r="AJ78" s="11"/>
      <c r="AK78" s="11"/>
      <c r="AL78" s="11"/>
      <c r="AM78" s="11"/>
      <c r="AN78" s="62" t="s">
        <v>11</v>
      </c>
      <c r="AO78" s="11"/>
      <c r="AP78" s="62"/>
      <c r="AQ78" s="61"/>
      <c r="AR78" s="60"/>
      <c r="AS78" s="62"/>
    </row>
    <row r="79" spans="1:45">
      <c r="A79" s="293"/>
      <c r="B79" s="293"/>
      <c r="C79" s="293"/>
      <c r="D79" s="293"/>
      <c r="E79" s="293"/>
      <c r="F79" s="293"/>
      <c r="G79" s="336"/>
      <c r="H79" s="370"/>
      <c r="I79" s="336"/>
      <c r="J79" s="182"/>
      <c r="K79" s="11" t="s">
        <v>11</v>
      </c>
      <c r="L79" s="61" t="s">
        <v>11</v>
      </c>
      <c r="M79" s="62"/>
      <c r="N79" s="39" t="s">
        <v>37</v>
      </c>
      <c r="O79" s="20" t="s">
        <v>13</v>
      </c>
      <c r="P79" s="25" t="s">
        <v>15</v>
      </c>
      <c r="Q79" s="62" t="s">
        <v>11</v>
      </c>
      <c r="R79" s="213" t="s">
        <v>251</v>
      </c>
      <c r="S79" s="232" t="s">
        <v>57</v>
      </c>
      <c r="T79" s="62" t="s">
        <v>11</v>
      </c>
      <c r="U79" s="213" t="s">
        <v>251</v>
      </c>
      <c r="V79" s="222" t="s">
        <v>253</v>
      </c>
      <c r="W79" s="62" t="s">
        <v>11</v>
      </c>
      <c r="X79" s="232" t="s">
        <v>57</v>
      </c>
      <c r="Y79" s="62" t="s">
        <v>11</v>
      </c>
      <c r="Z79" s="234" t="s">
        <v>78</v>
      </c>
      <c r="AA79" s="222" t="s">
        <v>253</v>
      </c>
      <c r="AB79" s="62" t="s">
        <v>11</v>
      </c>
      <c r="AC79" s="62" t="s">
        <v>11</v>
      </c>
      <c r="AD79" s="234" t="s">
        <v>78</v>
      </c>
      <c r="AE79" s="11"/>
      <c r="AG79" s="11"/>
      <c r="AH79" s="62" t="s">
        <v>11</v>
      </c>
      <c r="AI79" s="11"/>
      <c r="AJ79" s="11"/>
      <c r="AK79" s="11"/>
      <c r="AL79" s="11"/>
      <c r="AM79" s="11"/>
      <c r="AN79" s="62" t="s">
        <v>11</v>
      </c>
      <c r="AO79" s="11"/>
      <c r="AP79" s="62"/>
      <c r="AQ79" s="61"/>
      <c r="AR79" s="60"/>
      <c r="AS79" s="62"/>
    </row>
    <row r="80" spans="1:45">
      <c r="A80" s="292">
        <v>25</v>
      </c>
      <c r="B80" s="292">
        <v>4</v>
      </c>
      <c r="C80" s="292"/>
      <c r="D80" s="292"/>
      <c r="E80" s="292"/>
      <c r="F80" s="292">
        <v>555</v>
      </c>
      <c r="G80" s="335">
        <v>20262160</v>
      </c>
      <c r="H80" s="335" t="s">
        <v>197</v>
      </c>
      <c r="I80" s="335" t="s">
        <v>198</v>
      </c>
      <c r="J80" s="7"/>
      <c r="K80" s="11" t="s">
        <v>11</v>
      </c>
      <c r="L80" s="61" t="s">
        <v>11</v>
      </c>
      <c r="M80" s="62"/>
      <c r="N80" s="115" t="s">
        <v>79</v>
      </c>
      <c r="O80" s="15" t="s">
        <v>16</v>
      </c>
      <c r="P80" s="141" t="s">
        <v>47</v>
      </c>
      <c r="Q80" s="62" t="s">
        <v>11</v>
      </c>
      <c r="R80" s="143" t="s">
        <v>78</v>
      </c>
      <c r="S80" s="143" t="s">
        <v>78</v>
      </c>
      <c r="T80" s="62" t="s">
        <v>11</v>
      </c>
      <c r="U80" s="143" t="s">
        <v>78</v>
      </c>
      <c r="V80" s="143" t="s">
        <v>78</v>
      </c>
      <c r="W80" s="62" t="s">
        <v>11</v>
      </c>
      <c r="X80" s="143" t="s">
        <v>78</v>
      </c>
      <c r="Y80" s="22" t="s">
        <v>8</v>
      </c>
      <c r="Z80" s="11"/>
      <c r="AA80" s="11"/>
      <c r="AB80" s="11"/>
      <c r="AC80" s="11"/>
      <c r="AD80" s="11"/>
      <c r="AE80" s="11"/>
      <c r="AF80" s="11"/>
      <c r="AG80" s="11"/>
      <c r="AH80" s="11"/>
      <c r="AI80" s="62" t="s">
        <v>11</v>
      </c>
      <c r="AJ80" s="11"/>
      <c r="AK80" s="11"/>
      <c r="AL80" s="11"/>
      <c r="AM80" s="11"/>
      <c r="AN80" s="62" t="s">
        <v>11</v>
      </c>
      <c r="AO80" s="11"/>
      <c r="AP80" s="62"/>
      <c r="AQ80" s="61"/>
      <c r="AR80" s="60"/>
      <c r="AS80" s="62"/>
    </row>
    <row r="81" spans="1:45">
      <c r="A81" s="293"/>
      <c r="B81" s="293"/>
      <c r="C81" s="293"/>
      <c r="D81" s="293"/>
      <c r="E81" s="293"/>
      <c r="F81" s="293"/>
      <c r="G81" s="336"/>
      <c r="H81" s="336"/>
      <c r="I81" s="336"/>
      <c r="J81" s="184"/>
      <c r="K81" s="62" t="s">
        <v>11</v>
      </c>
      <c r="L81" s="61" t="s">
        <v>11</v>
      </c>
      <c r="M81" s="60"/>
      <c r="N81" s="39" t="s">
        <v>37</v>
      </c>
      <c r="O81" s="20" t="s">
        <v>13</v>
      </c>
      <c r="P81" s="25" t="s">
        <v>15</v>
      </c>
      <c r="Q81" s="62" t="s">
        <v>11</v>
      </c>
      <c r="R81" s="213" t="s">
        <v>251</v>
      </c>
      <c r="S81" s="232" t="s">
        <v>57</v>
      </c>
      <c r="T81" s="62" t="s">
        <v>11</v>
      </c>
      <c r="U81" s="213" t="s">
        <v>251</v>
      </c>
      <c r="V81" s="222" t="s">
        <v>253</v>
      </c>
      <c r="W81" s="62" t="s">
        <v>11</v>
      </c>
      <c r="X81" s="211" t="s">
        <v>251</v>
      </c>
      <c r="Y81" s="34"/>
      <c r="Z81" s="11"/>
      <c r="AA81" s="11"/>
      <c r="AB81" s="11"/>
      <c r="AC81" s="11"/>
      <c r="AD81" s="11"/>
      <c r="AE81" s="11"/>
      <c r="AF81" s="11"/>
      <c r="AG81" s="11"/>
      <c r="AH81" s="11"/>
      <c r="AI81" s="62" t="s">
        <v>11</v>
      </c>
      <c r="AJ81" s="11"/>
      <c r="AK81" s="11"/>
      <c r="AL81" s="11"/>
      <c r="AM81" s="11"/>
      <c r="AN81" s="62" t="s">
        <v>11</v>
      </c>
      <c r="AO81" s="11"/>
      <c r="AP81" s="62"/>
      <c r="AQ81" s="61"/>
      <c r="AR81" s="60"/>
      <c r="AS81" s="62"/>
    </row>
    <row r="82" spans="1:45">
      <c r="A82" s="292">
        <v>26</v>
      </c>
      <c r="B82" s="292">
        <v>3</v>
      </c>
      <c r="C82" s="292"/>
      <c r="D82" s="292"/>
      <c r="E82" s="292"/>
      <c r="F82" s="292">
        <v>287</v>
      </c>
      <c r="G82" s="335">
        <v>20262176</v>
      </c>
      <c r="H82" s="335" t="s">
        <v>201</v>
      </c>
      <c r="I82" s="335" t="s">
        <v>202</v>
      </c>
      <c r="J82" s="65"/>
      <c r="K82" s="62" t="s">
        <v>11</v>
      </c>
      <c r="L82" s="62" t="s">
        <v>11</v>
      </c>
      <c r="M82" s="60"/>
      <c r="N82" s="11"/>
      <c r="O82" s="11"/>
      <c r="P82" s="162"/>
      <c r="Q82" s="11"/>
      <c r="R82" s="62"/>
      <c r="S82" s="62"/>
      <c r="T82" s="115" t="s">
        <v>79</v>
      </c>
      <c r="U82" s="143" t="s">
        <v>78</v>
      </c>
      <c r="V82" s="143" t="s">
        <v>78</v>
      </c>
      <c r="W82" s="62" t="s">
        <v>11</v>
      </c>
      <c r="X82" s="143" t="s">
        <v>78</v>
      </c>
      <c r="Y82" s="62" t="s">
        <v>11</v>
      </c>
      <c r="Z82" s="15" t="s">
        <v>16</v>
      </c>
      <c r="AA82" s="143" t="s">
        <v>78</v>
      </c>
      <c r="AB82" s="141" t="s">
        <v>47</v>
      </c>
      <c r="AC82" s="62" t="s">
        <v>11</v>
      </c>
      <c r="AD82" s="143" t="s">
        <v>78</v>
      </c>
      <c r="AE82" s="22" t="s">
        <v>8</v>
      </c>
      <c r="AF82" s="11"/>
      <c r="AG82" s="11"/>
      <c r="AH82" s="11"/>
      <c r="AI82" s="62" t="s">
        <v>11</v>
      </c>
      <c r="AJ82" s="11"/>
      <c r="AK82" s="11"/>
      <c r="AL82" s="11"/>
      <c r="AM82" s="11"/>
      <c r="AN82" s="62" t="s">
        <v>11</v>
      </c>
      <c r="AO82" s="11"/>
      <c r="AP82" s="11"/>
      <c r="AQ82" s="61"/>
      <c r="AR82" s="60"/>
      <c r="AS82" s="62"/>
    </row>
    <row r="83" spans="1:45">
      <c r="A83" s="293"/>
      <c r="B83" s="293"/>
      <c r="C83" s="293"/>
      <c r="D83" s="293"/>
      <c r="E83" s="293"/>
      <c r="F83" s="293"/>
      <c r="G83" s="336"/>
      <c r="H83" s="336"/>
      <c r="I83" s="336"/>
      <c r="J83" s="184"/>
      <c r="K83" s="62" t="s">
        <v>11</v>
      </c>
      <c r="L83" s="62" t="s">
        <v>11</v>
      </c>
      <c r="M83" s="60"/>
      <c r="N83" s="11"/>
      <c r="O83" s="11"/>
      <c r="P83" s="162"/>
      <c r="Q83" s="11"/>
      <c r="R83" s="62"/>
      <c r="S83" s="62"/>
      <c r="T83" s="39" t="s">
        <v>37</v>
      </c>
      <c r="U83" s="213" t="s">
        <v>251</v>
      </c>
      <c r="V83" s="222" t="s">
        <v>253</v>
      </c>
      <c r="W83" s="62" t="s">
        <v>11</v>
      </c>
      <c r="X83" s="232" t="s">
        <v>57</v>
      </c>
      <c r="Y83" s="62" t="s">
        <v>11</v>
      </c>
      <c r="Z83" s="20" t="s">
        <v>13</v>
      </c>
      <c r="AA83" s="143" t="s">
        <v>78</v>
      </c>
      <c r="AB83" s="25" t="s">
        <v>15</v>
      </c>
      <c r="AC83" s="62" t="s">
        <v>11</v>
      </c>
      <c r="AD83" s="143" t="s">
        <v>78</v>
      </c>
      <c r="AE83" s="34" t="s">
        <v>91</v>
      </c>
      <c r="AF83" s="11"/>
      <c r="AG83" s="11"/>
      <c r="AH83" s="11"/>
      <c r="AI83" s="62" t="s">
        <v>11</v>
      </c>
      <c r="AJ83" s="11"/>
      <c r="AK83" s="11"/>
      <c r="AL83" s="11"/>
      <c r="AM83" s="11"/>
      <c r="AN83" s="62" t="s">
        <v>11</v>
      </c>
      <c r="AO83" s="11"/>
      <c r="AP83" s="11"/>
      <c r="AQ83" s="61"/>
      <c r="AR83" s="60"/>
      <c r="AS83" s="62"/>
    </row>
    <row r="84" spans="1:45">
      <c r="A84" s="292">
        <v>27</v>
      </c>
      <c r="B84" s="292">
        <v>1</v>
      </c>
      <c r="C84" s="292"/>
      <c r="D84" s="292"/>
      <c r="E84" s="397" t="s">
        <v>214</v>
      </c>
      <c r="F84" s="292"/>
      <c r="G84" s="335">
        <v>20262177</v>
      </c>
      <c r="H84" s="335" t="s">
        <v>203</v>
      </c>
      <c r="I84" s="335" t="s">
        <v>204</v>
      </c>
      <c r="J84" s="65"/>
      <c r="K84" s="62" t="s">
        <v>11</v>
      </c>
      <c r="L84" s="62" t="s">
        <v>11</v>
      </c>
      <c r="M84" s="60"/>
      <c r="N84" s="11"/>
      <c r="O84" s="11"/>
      <c r="P84" s="162"/>
      <c r="Q84" s="11"/>
      <c r="R84" s="62"/>
      <c r="S84" s="62"/>
      <c r="T84" s="11"/>
      <c r="U84" s="11"/>
      <c r="V84" s="11"/>
      <c r="W84" s="11"/>
      <c r="X84" s="11"/>
      <c r="Y84" s="62"/>
      <c r="Z84" s="62"/>
      <c r="AA84" s="11"/>
      <c r="AB84" s="62"/>
      <c r="AC84" s="62"/>
      <c r="AD84" s="62"/>
      <c r="AE84" s="115" t="s">
        <v>79</v>
      </c>
      <c r="AF84" s="143" t="s">
        <v>78</v>
      </c>
      <c r="AG84" s="143" t="s">
        <v>78</v>
      </c>
      <c r="AH84" s="143" t="s">
        <v>78</v>
      </c>
      <c r="AI84" s="143" t="s">
        <v>78</v>
      </c>
      <c r="AJ84" s="143" t="s">
        <v>78</v>
      </c>
      <c r="AK84" s="62" t="s">
        <v>11</v>
      </c>
      <c r="AL84" s="143" t="s">
        <v>78</v>
      </c>
      <c r="AM84" s="143" t="s">
        <v>78</v>
      </c>
      <c r="AN84" s="11"/>
      <c r="AO84" s="11"/>
      <c r="AP84" s="11"/>
      <c r="AQ84" s="61"/>
      <c r="AR84" s="60"/>
      <c r="AS84" s="62"/>
    </row>
    <row r="85" spans="1:45">
      <c r="A85" s="293"/>
      <c r="B85" s="293"/>
      <c r="C85" s="293"/>
      <c r="D85" s="293"/>
      <c r="E85" s="398"/>
      <c r="F85" s="293"/>
      <c r="G85" s="336"/>
      <c r="H85" s="336"/>
      <c r="I85" s="336"/>
      <c r="J85" s="184"/>
      <c r="K85" s="62" t="s">
        <v>11</v>
      </c>
      <c r="L85" s="62" t="s">
        <v>11</v>
      </c>
      <c r="M85" s="60"/>
      <c r="N85" s="11"/>
      <c r="O85" s="11"/>
      <c r="P85" s="162"/>
      <c r="Q85" s="11"/>
      <c r="R85" s="62"/>
      <c r="S85" s="62"/>
      <c r="T85" s="11"/>
      <c r="U85" s="11"/>
      <c r="V85" s="11"/>
      <c r="W85" s="11"/>
      <c r="X85" s="11"/>
      <c r="Y85" s="62"/>
      <c r="Z85" s="62"/>
      <c r="AA85" s="11"/>
      <c r="AB85" s="62"/>
      <c r="AC85" s="62"/>
      <c r="AD85" s="62"/>
      <c r="AE85" s="39" t="s">
        <v>37</v>
      </c>
      <c r="AF85" s="143" t="s">
        <v>78</v>
      </c>
      <c r="AG85" s="143" t="s">
        <v>78</v>
      </c>
      <c r="AH85" s="143" t="s">
        <v>78</v>
      </c>
      <c r="AI85" s="143" t="s">
        <v>78</v>
      </c>
      <c r="AJ85" s="143" t="s">
        <v>78</v>
      </c>
      <c r="AK85" s="62" t="s">
        <v>11</v>
      </c>
      <c r="AL85" s="143" t="s">
        <v>78</v>
      </c>
      <c r="AM85" s="143" t="s">
        <v>78</v>
      </c>
      <c r="AN85" s="11"/>
      <c r="AO85" s="11"/>
      <c r="AP85" s="11"/>
      <c r="AQ85" s="61"/>
      <c r="AR85" s="60"/>
      <c r="AS85" s="62"/>
    </row>
    <row r="86" spans="1:45">
      <c r="A86" s="292">
        <v>28</v>
      </c>
      <c r="B86" s="292">
        <v>2</v>
      </c>
      <c r="C86" s="292"/>
      <c r="D86" s="292"/>
      <c r="E86" s="292"/>
      <c r="F86" s="292"/>
      <c r="G86" s="335">
        <v>20262158</v>
      </c>
      <c r="H86" s="335" t="s">
        <v>205</v>
      </c>
      <c r="I86" s="335" t="s">
        <v>206</v>
      </c>
      <c r="J86" s="65"/>
      <c r="K86" s="62" t="s">
        <v>11</v>
      </c>
      <c r="L86" s="62" t="s">
        <v>11</v>
      </c>
      <c r="M86" s="60"/>
      <c r="N86" s="11"/>
      <c r="O86" s="11"/>
      <c r="P86" s="162"/>
      <c r="Q86" s="11"/>
      <c r="R86" s="62"/>
      <c r="S86" s="62"/>
      <c r="T86" s="11"/>
      <c r="U86" s="11"/>
      <c r="V86" s="11"/>
      <c r="W86" s="11"/>
      <c r="X86" s="11"/>
      <c r="Y86" s="62"/>
      <c r="Z86" s="62"/>
      <c r="AA86" s="62"/>
      <c r="AB86" s="115" t="s">
        <v>79</v>
      </c>
      <c r="AC86" s="62" t="s">
        <v>11</v>
      </c>
      <c r="AD86" s="143" t="s">
        <v>78</v>
      </c>
      <c r="AE86" s="62" t="s">
        <v>11</v>
      </c>
      <c r="AF86" s="143" t="s">
        <v>78</v>
      </c>
      <c r="AG86" s="143" t="s">
        <v>78</v>
      </c>
      <c r="AH86" s="143" t="s">
        <v>78</v>
      </c>
      <c r="AI86" s="143" t="s">
        <v>78</v>
      </c>
      <c r="AJ86" s="143" t="s">
        <v>78</v>
      </c>
      <c r="AK86" s="62" t="s">
        <v>11</v>
      </c>
      <c r="AL86" s="143" t="s">
        <v>78</v>
      </c>
      <c r="AM86" s="236" t="s">
        <v>11</v>
      </c>
      <c r="AN86" s="11"/>
      <c r="AO86" s="11"/>
      <c r="AP86" s="11"/>
      <c r="AQ86" s="61"/>
      <c r="AR86" s="60"/>
      <c r="AS86" s="62"/>
    </row>
    <row r="87" spans="1:45">
      <c r="A87" s="293"/>
      <c r="B87" s="293"/>
      <c r="C87" s="293"/>
      <c r="D87" s="293"/>
      <c r="E87" s="293"/>
      <c r="F87" s="293"/>
      <c r="G87" s="336"/>
      <c r="H87" s="336"/>
      <c r="I87" s="336"/>
      <c r="J87" s="184"/>
      <c r="K87" s="62" t="s">
        <v>11</v>
      </c>
      <c r="L87" s="62" t="s">
        <v>11</v>
      </c>
      <c r="M87" s="60"/>
      <c r="N87" s="11"/>
      <c r="O87" s="11"/>
      <c r="P87" s="162"/>
      <c r="Q87" s="11"/>
      <c r="R87" s="62"/>
      <c r="S87" s="62"/>
      <c r="T87" s="11"/>
      <c r="U87" s="11"/>
      <c r="V87" s="11"/>
      <c r="W87" s="11"/>
      <c r="X87" s="11"/>
      <c r="Y87" s="62"/>
      <c r="Z87" s="62"/>
      <c r="AA87" s="62"/>
      <c r="AB87" s="39" t="s">
        <v>37</v>
      </c>
      <c r="AC87" s="62" t="s">
        <v>11</v>
      </c>
      <c r="AD87" s="143" t="s">
        <v>78</v>
      </c>
      <c r="AE87" s="62" t="s">
        <v>11</v>
      </c>
      <c r="AF87" s="143" t="s">
        <v>78</v>
      </c>
      <c r="AG87" s="143" t="s">
        <v>78</v>
      </c>
      <c r="AH87" s="143" t="s">
        <v>78</v>
      </c>
      <c r="AI87" s="143" t="s">
        <v>78</v>
      </c>
      <c r="AJ87" s="143" t="s">
        <v>78</v>
      </c>
      <c r="AK87" s="62" t="s">
        <v>11</v>
      </c>
      <c r="AL87" s="143" t="s">
        <v>78</v>
      </c>
      <c r="AM87" s="236" t="s">
        <v>11</v>
      </c>
      <c r="AN87" s="11"/>
      <c r="AO87" s="11"/>
      <c r="AP87" s="11"/>
      <c r="AQ87" s="61"/>
      <c r="AR87" s="60"/>
      <c r="AS87" s="62"/>
    </row>
    <row r="88" spans="1:45">
      <c r="A88" s="292">
        <v>29</v>
      </c>
      <c r="B88" s="292">
        <v>4</v>
      </c>
      <c r="C88" s="292"/>
      <c r="D88" s="292"/>
      <c r="E88" s="342" t="s">
        <v>214</v>
      </c>
      <c r="F88" s="292">
        <v>660</v>
      </c>
      <c r="G88" s="335">
        <v>20262188</v>
      </c>
      <c r="H88" s="335" t="s">
        <v>208</v>
      </c>
      <c r="I88" s="335" t="s">
        <v>207</v>
      </c>
      <c r="J88" s="65"/>
      <c r="K88" s="62" t="s">
        <v>11</v>
      </c>
      <c r="L88" s="62" t="s">
        <v>11</v>
      </c>
      <c r="M88" s="60"/>
      <c r="N88" s="11"/>
      <c r="O88" s="11"/>
      <c r="P88" s="162"/>
      <c r="Q88" s="11"/>
      <c r="R88" s="62"/>
      <c r="S88" s="62"/>
      <c r="T88" s="11"/>
      <c r="U88" s="11"/>
      <c r="V88" s="11"/>
      <c r="W88" s="11"/>
      <c r="X88" s="11"/>
      <c r="Y88" s="62"/>
      <c r="Z88" s="62"/>
      <c r="AA88" s="11"/>
      <c r="AB88" s="11"/>
      <c r="AC88" s="278"/>
      <c r="AD88" s="115" t="s">
        <v>79</v>
      </c>
      <c r="AE88" s="62" t="s">
        <v>11</v>
      </c>
      <c r="AF88" s="143" t="s">
        <v>78</v>
      </c>
      <c r="AG88" s="143" t="s">
        <v>78</v>
      </c>
      <c r="AH88" s="143" t="s">
        <v>78</v>
      </c>
      <c r="AI88" s="143" t="s">
        <v>78</v>
      </c>
      <c r="AJ88" s="143" t="s">
        <v>78</v>
      </c>
      <c r="AK88" s="62" t="s">
        <v>11</v>
      </c>
      <c r="AL88" s="143" t="s">
        <v>78</v>
      </c>
      <c r="AM88" s="143" t="s">
        <v>78</v>
      </c>
      <c r="AN88" s="11"/>
      <c r="AO88" s="11"/>
      <c r="AP88" s="11"/>
      <c r="AQ88" s="61"/>
      <c r="AR88" s="60"/>
      <c r="AS88" s="62"/>
    </row>
    <row r="89" spans="1:45">
      <c r="A89" s="293"/>
      <c r="B89" s="293"/>
      <c r="C89" s="293"/>
      <c r="D89" s="293"/>
      <c r="E89" s="343"/>
      <c r="F89" s="293"/>
      <c r="G89" s="336"/>
      <c r="H89" s="336"/>
      <c r="I89" s="336"/>
      <c r="J89" s="184"/>
      <c r="K89" s="62" t="s">
        <v>11</v>
      </c>
      <c r="L89" s="62" t="s">
        <v>11</v>
      </c>
      <c r="M89" s="60"/>
      <c r="N89" s="11"/>
      <c r="O89" s="11"/>
      <c r="P89" s="162"/>
      <c r="Q89" s="11"/>
      <c r="R89" s="62"/>
      <c r="S89" s="62"/>
      <c r="T89" s="11"/>
      <c r="U89" s="11"/>
      <c r="V89" s="11"/>
      <c r="W89" s="11"/>
      <c r="X89" s="11"/>
      <c r="Y89" s="62"/>
      <c r="Z89" s="62"/>
      <c r="AA89" s="11"/>
      <c r="AB89" s="11"/>
      <c r="AC89" s="39"/>
      <c r="AD89" s="39" t="s">
        <v>37</v>
      </c>
      <c r="AE89" s="62" t="s">
        <v>11</v>
      </c>
      <c r="AF89" s="143" t="s">
        <v>78</v>
      </c>
      <c r="AG89" s="143" t="s">
        <v>78</v>
      </c>
      <c r="AH89" s="143" t="s">
        <v>78</v>
      </c>
      <c r="AI89" s="143" t="s">
        <v>78</v>
      </c>
      <c r="AJ89" s="143" t="s">
        <v>78</v>
      </c>
      <c r="AK89" s="62" t="s">
        <v>11</v>
      </c>
      <c r="AL89" s="143" t="s">
        <v>78</v>
      </c>
      <c r="AM89" s="143" t="s">
        <v>78</v>
      </c>
      <c r="AN89" s="11"/>
      <c r="AO89" s="11"/>
      <c r="AP89" s="11"/>
      <c r="AQ89" s="61"/>
      <c r="AR89" s="60"/>
      <c r="AS89" s="62"/>
    </row>
    <row r="90" spans="1:45">
      <c r="A90" s="292">
        <v>30</v>
      </c>
      <c r="B90" s="292"/>
      <c r="C90" s="292"/>
      <c r="D90" s="292"/>
      <c r="E90" s="292"/>
      <c r="F90" s="292"/>
      <c r="G90" s="335">
        <v>20262186</v>
      </c>
      <c r="H90" s="335" t="s">
        <v>209</v>
      </c>
      <c r="I90" s="335" t="s">
        <v>210</v>
      </c>
      <c r="J90" s="65"/>
      <c r="K90" s="62" t="s">
        <v>11</v>
      </c>
      <c r="L90" s="62" t="s">
        <v>11</v>
      </c>
      <c r="M90" s="60"/>
      <c r="N90" s="11"/>
      <c r="O90" s="11"/>
      <c r="P90" s="162"/>
      <c r="Q90" s="11"/>
      <c r="R90" s="62"/>
      <c r="S90" s="62"/>
      <c r="T90" s="11"/>
      <c r="U90" s="11"/>
      <c r="V90" s="11"/>
      <c r="W90" s="11"/>
      <c r="X90" s="11"/>
      <c r="Y90" s="62"/>
      <c r="Z90" s="62"/>
      <c r="AA90" s="11"/>
      <c r="AB90" s="11"/>
      <c r="AC90" s="11"/>
      <c r="AD90" s="11"/>
      <c r="AE90" s="115" t="s">
        <v>79</v>
      </c>
      <c r="AF90" s="143" t="s">
        <v>78</v>
      </c>
      <c r="AG90" s="143" t="s">
        <v>78</v>
      </c>
      <c r="AH90" s="143" t="s">
        <v>78</v>
      </c>
      <c r="AI90" s="143" t="s">
        <v>78</v>
      </c>
      <c r="AJ90" s="143" t="s">
        <v>78</v>
      </c>
      <c r="AK90" s="62" t="s">
        <v>11</v>
      </c>
      <c r="AL90" s="143" t="s">
        <v>78</v>
      </c>
      <c r="AM90" s="143" t="s">
        <v>78</v>
      </c>
      <c r="AN90" s="143" t="s">
        <v>78</v>
      </c>
      <c r="AO90" s="11"/>
      <c r="AP90" s="11"/>
      <c r="AQ90" s="61"/>
      <c r="AR90" s="60"/>
      <c r="AS90" s="62"/>
    </row>
    <row r="91" spans="1:45">
      <c r="A91" s="293"/>
      <c r="B91" s="293"/>
      <c r="C91" s="293"/>
      <c r="D91" s="293"/>
      <c r="E91" s="293"/>
      <c r="F91" s="293"/>
      <c r="G91" s="336"/>
      <c r="H91" s="336"/>
      <c r="I91" s="336"/>
      <c r="J91" s="184"/>
      <c r="K91" s="62" t="s">
        <v>11</v>
      </c>
      <c r="L91" s="62" t="s">
        <v>11</v>
      </c>
      <c r="M91" s="60"/>
      <c r="N91" s="11"/>
      <c r="O91" s="11"/>
      <c r="P91" s="162"/>
      <c r="Q91" s="11"/>
      <c r="R91" s="62"/>
      <c r="S91" s="62"/>
      <c r="T91" s="11"/>
      <c r="U91" s="11"/>
      <c r="V91" s="11"/>
      <c r="W91" s="11"/>
      <c r="X91" s="11"/>
      <c r="Y91" s="62"/>
      <c r="Z91" s="62"/>
      <c r="AA91" s="11"/>
      <c r="AB91" s="11"/>
      <c r="AC91" s="11"/>
      <c r="AD91" s="11"/>
      <c r="AE91" s="39" t="s">
        <v>37</v>
      </c>
      <c r="AF91" s="143" t="s">
        <v>78</v>
      </c>
      <c r="AG91" s="143" t="s">
        <v>78</v>
      </c>
      <c r="AH91" s="143" t="s">
        <v>78</v>
      </c>
      <c r="AI91" s="143" t="s">
        <v>78</v>
      </c>
      <c r="AJ91" s="143" t="s">
        <v>78</v>
      </c>
      <c r="AK91" s="62" t="s">
        <v>11</v>
      </c>
      <c r="AL91" s="143" t="s">
        <v>78</v>
      </c>
      <c r="AM91" s="143" t="s">
        <v>78</v>
      </c>
      <c r="AN91" s="143" t="s">
        <v>78</v>
      </c>
      <c r="AO91" s="11"/>
      <c r="AP91" s="11"/>
      <c r="AQ91" s="61"/>
      <c r="AR91" s="60"/>
      <c r="AS91" s="62"/>
    </row>
    <row r="92" spans="1:45">
      <c r="A92" s="292">
        <v>31</v>
      </c>
      <c r="B92" s="292">
        <v>1</v>
      </c>
      <c r="C92" s="292"/>
      <c r="D92" s="292"/>
      <c r="E92" s="342" t="s">
        <v>214</v>
      </c>
      <c r="F92" s="292"/>
      <c r="G92" s="335">
        <v>2026</v>
      </c>
      <c r="H92" s="335" t="s">
        <v>287</v>
      </c>
      <c r="I92" s="335"/>
      <c r="J92" s="7"/>
      <c r="K92" s="11"/>
      <c r="L92" s="10"/>
      <c r="M92" s="60"/>
      <c r="N92" s="11"/>
      <c r="O92" s="11"/>
      <c r="P92" s="162"/>
      <c r="Q92" s="11"/>
      <c r="R92" s="62"/>
      <c r="S92" s="62"/>
      <c r="T92" s="11"/>
      <c r="U92" s="11"/>
      <c r="V92" s="11"/>
      <c r="W92" s="11"/>
      <c r="X92" s="11"/>
      <c r="Y92" s="62"/>
      <c r="Z92" s="62"/>
      <c r="AA92" s="11"/>
      <c r="AB92" s="11"/>
      <c r="AC92" s="11"/>
      <c r="AD92" s="11"/>
      <c r="AE92" s="11"/>
      <c r="AF92" s="62"/>
      <c r="AG92" s="62"/>
      <c r="AH92" s="11"/>
      <c r="AI92" s="11"/>
      <c r="AJ92" s="115" t="s">
        <v>79</v>
      </c>
      <c r="AK92" s="143" t="s">
        <v>78</v>
      </c>
      <c r="AL92" s="62" t="s">
        <v>11</v>
      </c>
      <c r="AM92" s="143" t="s">
        <v>78</v>
      </c>
      <c r="AN92" s="143" t="s">
        <v>78</v>
      </c>
      <c r="AO92" s="62" t="s">
        <v>11</v>
      </c>
      <c r="AP92" s="143" t="s">
        <v>78</v>
      </c>
      <c r="AQ92" s="154" t="s">
        <v>78</v>
      </c>
      <c r="AR92" s="219" t="s">
        <v>78</v>
      </c>
      <c r="AS92" s="143" t="s">
        <v>78</v>
      </c>
    </row>
    <row r="93" spans="1:45">
      <c r="A93" s="293"/>
      <c r="B93" s="293"/>
      <c r="C93" s="293"/>
      <c r="D93" s="293"/>
      <c r="E93" s="343"/>
      <c r="F93" s="293"/>
      <c r="G93" s="336"/>
      <c r="H93" s="336"/>
      <c r="I93" s="336"/>
      <c r="J93" s="182"/>
      <c r="K93" s="11"/>
      <c r="L93" s="10"/>
      <c r="M93" s="60"/>
      <c r="N93" s="11"/>
      <c r="O93" s="11"/>
      <c r="P93" s="162"/>
      <c r="Q93" s="11"/>
      <c r="R93" s="62"/>
      <c r="S93" s="62"/>
      <c r="T93" s="11"/>
      <c r="U93" s="11"/>
      <c r="V93" s="11"/>
      <c r="W93" s="11"/>
      <c r="X93" s="11"/>
      <c r="Y93" s="62"/>
      <c r="Z93" s="62"/>
      <c r="AA93" s="11"/>
      <c r="AB93" s="11"/>
      <c r="AC93" s="11"/>
      <c r="AD93" s="11"/>
      <c r="AE93" s="11"/>
      <c r="AF93" s="62"/>
      <c r="AG93" s="62"/>
      <c r="AH93" s="11"/>
      <c r="AI93" s="11"/>
      <c r="AJ93" s="39" t="s">
        <v>37</v>
      </c>
      <c r="AK93" s="143" t="s">
        <v>78</v>
      </c>
      <c r="AL93" s="62" t="s">
        <v>11</v>
      </c>
      <c r="AM93" s="143" t="s">
        <v>78</v>
      </c>
      <c r="AN93" s="143" t="s">
        <v>78</v>
      </c>
      <c r="AO93" s="62" t="s">
        <v>11</v>
      </c>
      <c r="AP93" s="143" t="s">
        <v>78</v>
      </c>
      <c r="AQ93" s="154" t="s">
        <v>78</v>
      </c>
      <c r="AR93" s="219" t="s">
        <v>78</v>
      </c>
      <c r="AS93" s="143" t="s">
        <v>78</v>
      </c>
    </row>
    <row r="94" spans="1:45">
      <c r="A94" s="292">
        <v>32</v>
      </c>
      <c r="B94" s="292"/>
      <c r="C94" s="292"/>
      <c r="D94" s="292"/>
      <c r="E94" s="292"/>
      <c r="F94" s="292"/>
      <c r="G94" s="335">
        <v>2026</v>
      </c>
      <c r="H94" s="335" t="s">
        <v>215</v>
      </c>
      <c r="I94" s="335"/>
      <c r="J94" s="7"/>
      <c r="K94" s="11"/>
      <c r="L94" s="10"/>
      <c r="M94" s="60"/>
      <c r="N94" s="11"/>
      <c r="O94" s="11"/>
      <c r="P94" s="162"/>
      <c r="Q94" s="11"/>
      <c r="R94" s="62"/>
      <c r="S94" s="62"/>
      <c r="T94" s="11"/>
      <c r="U94" s="11"/>
      <c r="V94" s="11"/>
      <c r="W94" s="11"/>
      <c r="X94" s="11"/>
      <c r="Y94" s="62"/>
      <c r="Z94" s="62"/>
      <c r="AA94" s="11"/>
      <c r="AB94" s="11"/>
      <c r="AC94" s="11"/>
      <c r="AD94" s="11"/>
      <c r="AE94" s="11"/>
      <c r="AF94" s="62"/>
      <c r="AG94" s="62"/>
      <c r="AH94" s="11"/>
      <c r="AI94" s="11"/>
      <c r="AJ94" s="11"/>
      <c r="AK94" s="11"/>
      <c r="AL94" s="115" t="s">
        <v>79</v>
      </c>
      <c r="AM94" s="143" t="s">
        <v>78</v>
      </c>
      <c r="AN94" s="62" t="s">
        <v>11</v>
      </c>
      <c r="AO94" s="143" t="s">
        <v>78</v>
      </c>
      <c r="AP94" s="143" t="s">
        <v>78</v>
      </c>
      <c r="AQ94" s="154" t="s">
        <v>78</v>
      </c>
      <c r="AR94" s="219" t="s">
        <v>78</v>
      </c>
      <c r="AS94" s="143" t="s">
        <v>78</v>
      </c>
    </row>
    <row r="95" spans="1:45">
      <c r="A95" s="293"/>
      <c r="B95" s="293"/>
      <c r="C95" s="293"/>
      <c r="D95" s="293"/>
      <c r="E95" s="293"/>
      <c r="F95" s="293"/>
      <c r="G95" s="336"/>
      <c r="H95" s="336"/>
      <c r="I95" s="336"/>
      <c r="J95" s="182"/>
      <c r="K95" s="11"/>
      <c r="L95" s="10"/>
      <c r="M95" s="60"/>
      <c r="N95" s="11"/>
      <c r="O95" s="11"/>
      <c r="P95" s="162"/>
      <c r="Q95" s="11"/>
      <c r="R95" s="62"/>
      <c r="S95" s="62"/>
      <c r="T95" s="11"/>
      <c r="U95" s="11"/>
      <c r="V95" s="11"/>
      <c r="W95" s="11"/>
      <c r="X95" s="11"/>
      <c r="Y95" s="62"/>
      <c r="Z95" s="62"/>
      <c r="AA95" s="11"/>
      <c r="AB95" s="11"/>
      <c r="AC95" s="11"/>
      <c r="AD95" s="11"/>
      <c r="AE95" s="11"/>
      <c r="AF95" s="62"/>
      <c r="AG95" s="62"/>
      <c r="AH95" s="11"/>
      <c r="AI95" s="11"/>
      <c r="AJ95" s="11"/>
      <c r="AK95" s="11"/>
      <c r="AL95" s="39" t="s">
        <v>37</v>
      </c>
      <c r="AM95" s="143" t="s">
        <v>78</v>
      </c>
      <c r="AN95" s="62" t="s">
        <v>11</v>
      </c>
      <c r="AO95" s="143" t="s">
        <v>78</v>
      </c>
      <c r="AP95" s="143" t="s">
        <v>78</v>
      </c>
      <c r="AQ95" s="154" t="s">
        <v>78</v>
      </c>
      <c r="AR95" s="219" t="s">
        <v>78</v>
      </c>
      <c r="AS95" s="143" t="s">
        <v>78</v>
      </c>
    </row>
    <row r="96" spans="1:45">
      <c r="A96" s="292">
        <v>33</v>
      </c>
      <c r="B96" s="292"/>
      <c r="C96" s="292"/>
      <c r="D96" s="292"/>
      <c r="E96" s="292"/>
      <c r="F96" s="292"/>
      <c r="G96" s="335">
        <v>2026</v>
      </c>
      <c r="H96" s="335" t="s">
        <v>292</v>
      </c>
      <c r="I96" s="335"/>
      <c r="J96" s="7"/>
      <c r="K96" s="11"/>
      <c r="L96" s="10"/>
      <c r="M96" s="60"/>
      <c r="N96" s="11"/>
      <c r="O96" s="11"/>
      <c r="P96" s="162"/>
      <c r="Q96" s="11"/>
      <c r="R96" s="62"/>
      <c r="S96" s="62"/>
      <c r="T96" s="11"/>
      <c r="U96" s="11"/>
      <c r="V96" s="11"/>
      <c r="W96" s="11"/>
      <c r="X96" s="11"/>
      <c r="Y96" s="62"/>
      <c r="Z96" s="62"/>
      <c r="AA96" s="11"/>
      <c r="AC96" s="11"/>
      <c r="AD96" s="11"/>
      <c r="AE96" s="11"/>
      <c r="AF96" s="62"/>
      <c r="AG96" s="62"/>
      <c r="AH96" s="11"/>
      <c r="AI96" s="11"/>
      <c r="AJ96" s="11"/>
      <c r="AK96" s="11"/>
      <c r="AL96" s="11"/>
      <c r="AM96" s="11"/>
      <c r="AN96" s="11"/>
      <c r="AO96" s="11"/>
      <c r="AP96" s="115" t="s">
        <v>79</v>
      </c>
      <c r="AQ96" s="154" t="s">
        <v>78</v>
      </c>
      <c r="AR96" s="219" t="s">
        <v>78</v>
      </c>
      <c r="AS96" s="143" t="s">
        <v>78</v>
      </c>
    </row>
    <row r="97" spans="1:47">
      <c r="A97" s="293"/>
      <c r="B97" s="293"/>
      <c r="C97" s="293"/>
      <c r="D97" s="293"/>
      <c r="E97" s="293"/>
      <c r="F97" s="293"/>
      <c r="G97" s="336"/>
      <c r="H97" s="336"/>
      <c r="I97" s="336"/>
      <c r="J97" s="182"/>
      <c r="K97" s="11"/>
      <c r="L97" s="10"/>
      <c r="M97" s="60"/>
      <c r="N97" s="11"/>
      <c r="O97" s="11"/>
      <c r="P97" s="162"/>
      <c r="Q97" s="11"/>
      <c r="R97" s="62"/>
      <c r="S97" s="62"/>
      <c r="T97" s="11"/>
      <c r="U97" s="11"/>
      <c r="V97" s="11"/>
      <c r="W97" s="11"/>
      <c r="X97" s="11"/>
      <c r="Y97" s="62"/>
      <c r="Z97" s="62"/>
      <c r="AA97" s="11"/>
      <c r="AB97" s="11"/>
      <c r="AC97" s="11"/>
      <c r="AD97" s="11"/>
      <c r="AE97" s="11"/>
      <c r="AF97" s="62"/>
      <c r="AG97" s="62"/>
      <c r="AH97" s="11"/>
      <c r="AI97" s="11"/>
      <c r="AJ97" s="11"/>
      <c r="AK97" s="11"/>
      <c r="AL97" s="11"/>
      <c r="AM97" s="11"/>
      <c r="AN97" s="11"/>
      <c r="AO97" s="11"/>
      <c r="AP97" s="39" t="s">
        <v>37</v>
      </c>
      <c r="AQ97" s="154" t="s">
        <v>78</v>
      </c>
      <c r="AR97" s="219" t="s">
        <v>78</v>
      </c>
      <c r="AS97" s="143" t="s">
        <v>78</v>
      </c>
    </row>
    <row r="98" spans="1:47">
      <c r="A98" s="292"/>
      <c r="B98" s="292"/>
      <c r="C98" s="292"/>
      <c r="D98" s="292"/>
      <c r="E98" s="292"/>
      <c r="F98" s="292"/>
      <c r="G98" s="335"/>
      <c r="H98" s="335" t="s">
        <v>293</v>
      </c>
      <c r="I98" s="335"/>
      <c r="J98" s="7"/>
      <c r="K98" s="11"/>
      <c r="L98" s="10"/>
      <c r="M98" s="60"/>
      <c r="N98" s="11"/>
      <c r="O98" s="11"/>
      <c r="P98" s="16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5" t="s">
        <v>79</v>
      </c>
      <c r="AR98" s="60"/>
      <c r="AS98" s="62"/>
    </row>
    <row r="99" spans="1:47">
      <c r="A99" s="293"/>
      <c r="B99" s="293"/>
      <c r="C99" s="293"/>
      <c r="D99" s="293"/>
      <c r="E99" s="293"/>
      <c r="F99" s="293"/>
      <c r="G99" s="336"/>
      <c r="H99" s="336"/>
      <c r="I99" s="336"/>
      <c r="J99" s="182"/>
      <c r="K99" s="11"/>
      <c r="L99" s="10"/>
      <c r="M99" s="60"/>
      <c r="N99" s="11"/>
      <c r="O99" s="11"/>
      <c r="P99" s="162"/>
      <c r="Q99" s="11"/>
      <c r="R99" s="11"/>
      <c r="S99" s="11"/>
      <c r="T99" s="11"/>
      <c r="U99" s="11"/>
      <c r="V99" s="11"/>
      <c r="W99" s="7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39" t="s">
        <v>37</v>
      </c>
      <c r="AR99" s="60"/>
      <c r="AS99" s="62"/>
    </row>
    <row r="100" spans="1:47" ht="23.4" customHeight="1" thickBot="1">
      <c r="A100" s="51"/>
      <c r="E100" s="2"/>
      <c r="F100" s="12"/>
      <c r="G100" s="12"/>
      <c r="H100" s="12"/>
      <c r="I100" s="12"/>
      <c r="J100" s="254">
        <f>COUNTA(J42:J99)*0.5</f>
        <v>10</v>
      </c>
      <c r="K100" s="254"/>
      <c r="L100" s="254"/>
      <c r="M100" s="254">
        <f>COUNTA(M42:M99)*0.5</f>
        <v>10</v>
      </c>
      <c r="N100" s="254">
        <f t="shared" ref="N100:AS100" si="6">COUNTA(N42:N99)*0.5</f>
        <v>14</v>
      </c>
      <c r="O100" s="254">
        <f t="shared" si="6"/>
        <v>15</v>
      </c>
      <c r="P100" s="254">
        <f t="shared" si="6"/>
        <v>16</v>
      </c>
      <c r="Q100" s="254">
        <f t="shared" si="6"/>
        <v>17</v>
      </c>
      <c r="R100" s="254">
        <f t="shared" si="6"/>
        <v>20</v>
      </c>
      <c r="S100" s="254">
        <f t="shared" si="6"/>
        <v>20</v>
      </c>
      <c r="T100" s="254">
        <f t="shared" si="6"/>
        <v>18</v>
      </c>
      <c r="U100" s="254">
        <f t="shared" si="6"/>
        <v>19</v>
      </c>
      <c r="V100" s="254">
        <f t="shared" si="6"/>
        <v>18</v>
      </c>
      <c r="W100" s="262">
        <f t="shared" si="6"/>
        <v>19</v>
      </c>
      <c r="X100" s="254">
        <f t="shared" si="6"/>
        <v>19</v>
      </c>
      <c r="Y100" s="254">
        <f t="shared" si="6"/>
        <v>18.5</v>
      </c>
      <c r="Z100" s="254">
        <f t="shared" si="6"/>
        <v>18</v>
      </c>
      <c r="AA100" s="254">
        <f t="shared" si="6"/>
        <v>16</v>
      </c>
      <c r="AB100" s="254">
        <f t="shared" si="6"/>
        <v>17.5</v>
      </c>
      <c r="AC100" s="254">
        <f t="shared" si="6"/>
        <v>14</v>
      </c>
      <c r="AD100" s="254">
        <f t="shared" si="6"/>
        <v>16</v>
      </c>
      <c r="AE100" s="254">
        <f t="shared" si="6"/>
        <v>18</v>
      </c>
      <c r="AF100" s="254">
        <f t="shared" si="6"/>
        <v>15.5</v>
      </c>
      <c r="AG100" s="254">
        <f t="shared" si="6"/>
        <v>19</v>
      </c>
      <c r="AH100" s="254">
        <f t="shared" si="6"/>
        <v>12</v>
      </c>
      <c r="AI100" s="254">
        <f t="shared" si="6"/>
        <v>13</v>
      </c>
      <c r="AJ100" s="254">
        <f t="shared" si="6"/>
        <v>12</v>
      </c>
      <c r="AK100" s="254">
        <f t="shared" si="6"/>
        <v>9</v>
      </c>
      <c r="AL100" s="254">
        <f t="shared" si="6"/>
        <v>11</v>
      </c>
      <c r="AM100" s="254">
        <f t="shared" si="6"/>
        <v>19</v>
      </c>
      <c r="AN100" s="254">
        <f t="shared" si="6"/>
        <v>22</v>
      </c>
      <c r="AO100" s="254">
        <f t="shared" si="6"/>
        <v>4.5</v>
      </c>
      <c r="AP100" s="254">
        <f t="shared" si="6"/>
        <v>5</v>
      </c>
      <c r="AQ100" s="254">
        <f>COUNTA(AQ42:AQ99)*0.5</f>
        <v>5</v>
      </c>
      <c r="AR100" s="254">
        <f t="shared" si="6"/>
        <v>4</v>
      </c>
      <c r="AS100" s="254">
        <f t="shared" si="6"/>
        <v>4</v>
      </c>
    </row>
    <row r="101" spans="1:47" ht="37.799999999999997" customHeight="1" thickTop="1" thickBot="1">
      <c r="A101" s="51" t="s">
        <v>284</v>
      </c>
      <c r="D101" s="263" t="s">
        <v>275</v>
      </c>
      <c r="E101" s="263" t="s">
        <v>276</v>
      </c>
      <c r="F101" s="263" t="s">
        <v>282</v>
      </c>
      <c r="G101" s="12"/>
      <c r="H101" s="381" t="s">
        <v>274</v>
      </c>
      <c r="I101" s="382"/>
      <c r="J101" s="382"/>
      <c r="K101" s="382"/>
      <c r="L101" s="383"/>
      <c r="M101" s="255"/>
      <c r="N101" s="256"/>
      <c r="O101" s="256"/>
      <c r="P101" s="257"/>
      <c r="Q101" s="256"/>
      <c r="R101" s="256">
        <v>4</v>
      </c>
      <c r="S101" s="256">
        <v>3</v>
      </c>
      <c r="T101" s="256">
        <v>3.5</v>
      </c>
      <c r="U101" s="256">
        <v>3</v>
      </c>
      <c r="V101" s="256">
        <v>4</v>
      </c>
      <c r="W101" s="256">
        <v>2</v>
      </c>
      <c r="X101" s="256">
        <v>3</v>
      </c>
      <c r="Y101" s="256">
        <v>5</v>
      </c>
      <c r="Z101" s="256">
        <v>5</v>
      </c>
      <c r="AA101" s="256">
        <v>3.5</v>
      </c>
      <c r="AB101" s="256">
        <v>2</v>
      </c>
      <c r="AC101" s="256">
        <v>3.5</v>
      </c>
      <c r="AD101" s="256">
        <v>2</v>
      </c>
      <c r="AE101" s="256">
        <v>1</v>
      </c>
      <c r="AF101" s="256">
        <v>3</v>
      </c>
      <c r="AG101" s="256">
        <v>3</v>
      </c>
      <c r="AH101" s="256">
        <v>3</v>
      </c>
      <c r="AI101" s="256">
        <v>2.5</v>
      </c>
      <c r="AJ101" s="256">
        <v>2</v>
      </c>
      <c r="AK101" s="256">
        <v>2</v>
      </c>
      <c r="AL101" s="256">
        <v>2</v>
      </c>
      <c r="AM101" s="256">
        <v>2</v>
      </c>
      <c r="AN101" s="256">
        <v>2</v>
      </c>
      <c r="AO101" s="256">
        <v>1</v>
      </c>
      <c r="AP101" s="256">
        <v>1</v>
      </c>
      <c r="AQ101" s="258">
        <v>1</v>
      </c>
      <c r="AR101" s="5"/>
      <c r="AS101" s="5"/>
    </row>
    <row r="102" spans="1:47" ht="37.799999999999997" customHeight="1" thickTop="1" thickBot="1">
      <c r="B102" s="384" t="s">
        <v>176</v>
      </c>
      <c r="C102" s="385"/>
      <c r="D102" s="35" t="s">
        <v>279</v>
      </c>
      <c r="E102" s="35" t="s">
        <v>280</v>
      </c>
      <c r="F102" s="18"/>
      <c r="H102" s="381" t="s">
        <v>285</v>
      </c>
      <c r="I102" s="382"/>
      <c r="J102" s="382"/>
      <c r="K102" s="382"/>
      <c r="L102" s="382"/>
      <c r="M102" s="271"/>
      <c r="N102" s="272"/>
      <c r="O102" s="272"/>
      <c r="P102" s="273"/>
      <c r="Q102" s="272"/>
      <c r="R102" s="256">
        <v>-1</v>
      </c>
      <c r="S102" s="256">
        <v>-1</v>
      </c>
      <c r="T102" s="256">
        <v>-1.5</v>
      </c>
      <c r="U102" s="256">
        <v>-1</v>
      </c>
      <c r="V102" s="256">
        <v>-2</v>
      </c>
      <c r="W102" s="256">
        <v>-1</v>
      </c>
      <c r="X102" s="256">
        <v>-1</v>
      </c>
      <c r="Y102" s="256">
        <v>-2</v>
      </c>
      <c r="Z102" s="256">
        <v>-3</v>
      </c>
      <c r="AA102" s="256">
        <v>-1.5</v>
      </c>
      <c r="AB102" s="256">
        <v>0</v>
      </c>
      <c r="AC102" s="256">
        <v>-2.5</v>
      </c>
      <c r="AD102" s="256">
        <v>0</v>
      </c>
      <c r="AE102" s="256">
        <v>-1</v>
      </c>
      <c r="AF102" s="256">
        <v>-2</v>
      </c>
      <c r="AG102" s="256">
        <v>0</v>
      </c>
      <c r="AH102" s="256">
        <v>-2</v>
      </c>
      <c r="AI102" s="256">
        <v>-0.5</v>
      </c>
      <c r="AJ102" s="256">
        <v>-1</v>
      </c>
      <c r="AK102" s="256">
        <v>0</v>
      </c>
      <c r="AL102" s="256">
        <v>0</v>
      </c>
      <c r="AM102" s="256">
        <v>0</v>
      </c>
      <c r="AN102" s="256">
        <v>0</v>
      </c>
      <c r="AO102" s="256">
        <v>0</v>
      </c>
      <c r="AP102" s="256">
        <v>0</v>
      </c>
      <c r="AQ102" s="274">
        <v>1</v>
      </c>
      <c r="AR102" s="399">
        <f>SUM(M102:AQ102)</f>
        <v>-23</v>
      </c>
      <c r="AS102" s="400"/>
    </row>
    <row r="103" spans="1:47" ht="28.8" customHeight="1" thickTop="1">
      <c r="B103" s="386"/>
      <c r="C103" s="387"/>
      <c r="D103" s="261">
        <f>6*9</f>
        <v>54</v>
      </c>
      <c r="E103" s="261">
        <f>16*15</f>
        <v>240</v>
      </c>
      <c r="F103" s="261">
        <f>+E103-D103</f>
        <v>186</v>
      </c>
      <c r="G103" s="1" t="s">
        <v>277</v>
      </c>
      <c r="H103" s="268"/>
      <c r="I103" s="269"/>
      <c r="J103" s="269"/>
      <c r="K103" s="269"/>
      <c r="L103" s="269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276">
        <v>-1.5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7" ht="36.6" customHeight="1">
      <c r="B104" s="377" t="s">
        <v>281</v>
      </c>
      <c r="C104" s="378"/>
      <c r="D104" s="261">
        <f>12*6</f>
        <v>72</v>
      </c>
      <c r="E104" s="261">
        <f>12*10</f>
        <v>120</v>
      </c>
      <c r="F104" s="261">
        <f>+E104-D104</f>
        <v>48</v>
      </c>
      <c r="G104" s="1" t="s">
        <v>277</v>
      </c>
      <c r="I104" s="6"/>
      <c r="J104" s="6"/>
      <c r="Q104" s="22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7" ht="25.05" customHeight="1">
      <c r="B105" s="379" t="s">
        <v>273</v>
      </c>
      <c r="C105" s="380"/>
      <c r="D105" s="18"/>
      <c r="E105" s="270" t="s">
        <v>283</v>
      </c>
      <c r="F105" s="260">
        <f>+F103+F104</f>
        <v>234</v>
      </c>
      <c r="G105" s="1" t="s">
        <v>277</v>
      </c>
      <c r="K105" s="5"/>
      <c r="L105" s="5"/>
      <c r="M105" s="5"/>
      <c r="N105" s="5"/>
      <c r="O105" s="5"/>
      <c r="P105" s="224"/>
      <c r="Q105" s="224"/>
      <c r="R105" s="401" t="s">
        <v>278</v>
      </c>
      <c r="S105" s="402"/>
      <c r="T105" s="402"/>
      <c r="U105" s="402"/>
      <c r="V105" s="402"/>
      <c r="W105" s="402"/>
      <c r="X105" s="5"/>
      <c r="Y105" s="5"/>
      <c r="Z105" s="5"/>
      <c r="AA105" s="5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33">
        <v>3</v>
      </c>
      <c r="AT105" s="5">
        <f>COUNTA(AT42:AT99)*0.5</f>
        <v>0</v>
      </c>
    </row>
    <row r="106" spans="1:47">
      <c r="J106" s="13">
        <v>15</v>
      </c>
      <c r="K106" s="9">
        <v>16</v>
      </c>
      <c r="L106" s="56">
        <f t="shared" ref="L106" si="7">K106+1</f>
        <v>17</v>
      </c>
      <c r="M106" s="57">
        <f t="shared" ref="M106" si="8">L106+1</f>
        <v>18</v>
      </c>
      <c r="N106" s="9">
        <f t="shared" ref="N106" si="9">M106+1</f>
        <v>19</v>
      </c>
      <c r="O106" s="9">
        <f t="shared" ref="O106" si="10">N106+1</f>
        <v>20</v>
      </c>
      <c r="P106" s="229">
        <f t="shared" ref="P106" si="11">O106+1</f>
        <v>21</v>
      </c>
      <c r="Q106" s="9">
        <f t="shared" ref="Q106" si="12">P106+1</f>
        <v>22</v>
      </c>
      <c r="R106" s="235">
        <f t="shared" ref="R106:T106" si="13">Q106+1</f>
        <v>23</v>
      </c>
      <c r="S106" s="235">
        <f t="shared" ref="S106" si="14">R106+1</f>
        <v>24</v>
      </c>
      <c r="T106" s="235">
        <f t="shared" si="13"/>
        <v>25</v>
      </c>
      <c r="U106" s="235">
        <f t="shared" ref="U106" si="15">T106+1</f>
        <v>26</v>
      </c>
      <c r="V106" s="235">
        <f t="shared" ref="V106:W106" si="16">U106+1</f>
        <v>27</v>
      </c>
      <c r="W106" s="235">
        <f t="shared" si="16"/>
        <v>28</v>
      </c>
      <c r="X106" s="9">
        <f t="shared" ref="X106" si="17">W106+1</f>
        <v>29</v>
      </c>
      <c r="Y106" s="9">
        <f t="shared" ref="Y106" si="18">X106+1</f>
        <v>30</v>
      </c>
      <c r="Z106" s="9">
        <f t="shared" ref="Z106" si="19">Y106+1</f>
        <v>31</v>
      </c>
      <c r="AA106" s="9">
        <v>1</v>
      </c>
      <c r="AB106" s="9">
        <f t="shared" ref="AB106" si="20">AA106+1</f>
        <v>2</v>
      </c>
      <c r="AC106" s="9">
        <f t="shared" ref="AC106" si="21">AB106+1</f>
        <v>3</v>
      </c>
      <c r="AD106" s="9">
        <f t="shared" ref="AD106" si="22">AC106+1</f>
        <v>4</v>
      </c>
      <c r="AE106" s="9">
        <f t="shared" ref="AE106" si="23">AD106+1</f>
        <v>5</v>
      </c>
      <c r="AF106" s="9">
        <f t="shared" ref="AF106" si="24">AE106+1</f>
        <v>6</v>
      </c>
      <c r="AG106" s="9">
        <f t="shared" ref="AG106" si="25">AF106+1</f>
        <v>7</v>
      </c>
      <c r="AH106" s="9">
        <f t="shared" ref="AH106" si="26">AG106+1</f>
        <v>8</v>
      </c>
      <c r="AI106" s="9">
        <f t="shared" ref="AI106" si="27">AH106+1</f>
        <v>9</v>
      </c>
      <c r="AJ106" s="56">
        <f t="shared" ref="AJ106" si="28">AI106+1</f>
        <v>10</v>
      </c>
      <c r="AK106" s="57">
        <f t="shared" ref="AK106" si="29">AJ106+1</f>
        <v>11</v>
      </c>
      <c r="AL106" s="9">
        <f t="shared" ref="AL106" si="30">AK106+1</f>
        <v>12</v>
      </c>
      <c r="AM106" s="9">
        <f t="shared" ref="AM106" si="31">AL106+1</f>
        <v>13</v>
      </c>
      <c r="AN106" s="9">
        <f t="shared" ref="AN106" si="32">AM106+1</f>
        <v>14</v>
      </c>
      <c r="AO106" s="9">
        <f t="shared" ref="AO106" si="33">AN106+1</f>
        <v>15</v>
      </c>
      <c r="AP106" s="9">
        <f t="shared" ref="AP106" si="34">AO106+1</f>
        <v>16</v>
      </c>
      <c r="AQ106" s="56">
        <f t="shared" ref="AQ106" si="35">AP106+1</f>
        <v>17</v>
      </c>
      <c r="AR106" s="57">
        <f t="shared" ref="AR106" si="36">AQ106+1</f>
        <v>18</v>
      </c>
      <c r="AS106" s="9">
        <f t="shared" ref="AS106" si="37">AR106+1</f>
        <v>19</v>
      </c>
    </row>
    <row r="107" spans="1:47" ht="15.6" thickBot="1">
      <c r="J107" s="139" t="s">
        <v>34</v>
      </c>
      <c r="K107" s="31" t="s">
        <v>28</v>
      </c>
      <c r="L107" s="71" t="s">
        <v>29</v>
      </c>
      <c r="M107" s="59" t="s">
        <v>30</v>
      </c>
      <c r="N107" s="30" t="s">
        <v>31</v>
      </c>
      <c r="O107" s="30" t="s">
        <v>32</v>
      </c>
      <c r="P107" s="68" t="s">
        <v>33</v>
      </c>
      <c r="Q107" s="68" t="s">
        <v>34</v>
      </c>
      <c r="R107" s="31" t="s">
        <v>28</v>
      </c>
      <c r="S107" s="32" t="s">
        <v>29</v>
      </c>
      <c r="T107" s="30" t="s">
        <v>30</v>
      </c>
      <c r="U107" s="30" t="s">
        <v>31</v>
      </c>
      <c r="V107" s="30" t="s">
        <v>32</v>
      </c>
      <c r="W107" s="68" t="s">
        <v>33</v>
      </c>
      <c r="X107" s="68" t="s">
        <v>34</v>
      </c>
      <c r="Y107" s="31" t="s">
        <v>28</v>
      </c>
      <c r="Z107" s="32" t="s">
        <v>29</v>
      </c>
      <c r="AA107" s="30" t="s">
        <v>30</v>
      </c>
      <c r="AB107" s="30" t="s">
        <v>31</v>
      </c>
      <c r="AC107" s="30" t="s">
        <v>32</v>
      </c>
      <c r="AD107" s="68" t="s">
        <v>33</v>
      </c>
      <c r="AE107" s="68" t="s">
        <v>34</v>
      </c>
      <c r="AF107" s="31" t="s">
        <v>28</v>
      </c>
      <c r="AG107" s="32" t="s">
        <v>29</v>
      </c>
      <c r="AH107" s="30" t="s">
        <v>30</v>
      </c>
      <c r="AI107" s="30" t="s">
        <v>31</v>
      </c>
      <c r="AJ107" s="58" t="s">
        <v>32</v>
      </c>
      <c r="AK107" s="153" t="s">
        <v>33</v>
      </c>
      <c r="AL107" s="68" t="s">
        <v>34</v>
      </c>
      <c r="AM107" s="31" t="s">
        <v>28</v>
      </c>
      <c r="AN107" s="32" t="s">
        <v>29</v>
      </c>
      <c r="AO107" s="30" t="s">
        <v>30</v>
      </c>
      <c r="AP107" s="30" t="s">
        <v>31</v>
      </c>
      <c r="AQ107" s="58" t="s">
        <v>32</v>
      </c>
      <c r="AR107" s="153" t="s">
        <v>33</v>
      </c>
      <c r="AS107" s="68" t="s">
        <v>34</v>
      </c>
    </row>
    <row r="108" spans="1:47" ht="18" customHeight="1" thickTop="1" thickBot="1">
      <c r="A108" s="302" t="s">
        <v>272</v>
      </c>
      <c r="B108" s="302"/>
      <c r="C108" s="302"/>
      <c r="D108" s="302"/>
      <c r="E108" s="302"/>
      <c r="F108" s="302"/>
      <c r="H108" s="339" t="s">
        <v>286</v>
      </c>
      <c r="I108" s="304"/>
      <c r="J108" s="45"/>
      <c r="K108" s="45"/>
      <c r="L108" s="264"/>
      <c r="M108" s="266" t="s">
        <v>45</v>
      </c>
      <c r="N108" s="45"/>
      <c r="O108" s="62" t="s">
        <v>11</v>
      </c>
      <c r="P108" s="45"/>
      <c r="Q108" s="45"/>
      <c r="R108" s="45"/>
      <c r="S108" s="45"/>
      <c r="T108" s="45"/>
      <c r="U108" s="350" t="s">
        <v>257</v>
      </c>
      <c r="V108" s="350"/>
      <c r="W108" s="62" t="s">
        <v>11</v>
      </c>
      <c r="X108" s="45"/>
      <c r="Y108" s="350" t="s">
        <v>257</v>
      </c>
      <c r="Z108" s="350"/>
      <c r="AA108" s="11" t="s">
        <v>149</v>
      </c>
      <c r="AB108" s="11"/>
      <c r="AC108" s="11" t="s">
        <v>11</v>
      </c>
      <c r="AD108" s="350" t="s">
        <v>257</v>
      </c>
      <c r="AE108" s="350"/>
      <c r="AF108" s="45"/>
      <c r="AG108" s="350" t="s">
        <v>257</v>
      </c>
      <c r="AH108" s="350"/>
      <c r="AI108" s="11"/>
      <c r="AJ108" s="11"/>
      <c r="AK108" s="11" t="s">
        <v>11</v>
      </c>
      <c r="AL108" s="350" t="s">
        <v>257</v>
      </c>
      <c r="AM108" s="350"/>
      <c r="AN108" s="11" t="s">
        <v>11</v>
      </c>
      <c r="AO108" s="11" t="s">
        <v>11</v>
      </c>
      <c r="AP108" s="11"/>
      <c r="AQ108" s="11" t="s">
        <v>11</v>
      </c>
      <c r="AR108" s="60"/>
      <c r="AS108" s="62"/>
      <c r="AT108" s="52"/>
    </row>
    <row r="109" spans="1:47" ht="18" customHeight="1" thickTop="1" thickBot="1">
      <c r="A109" s="302"/>
      <c r="B109" s="302"/>
      <c r="C109" s="302"/>
      <c r="D109" s="302"/>
      <c r="E109" s="302"/>
      <c r="F109" s="302"/>
      <c r="H109" s="305"/>
      <c r="I109" s="306"/>
      <c r="J109" s="170"/>
      <c r="K109" s="170"/>
      <c r="L109" s="265"/>
      <c r="M109" s="267" t="s">
        <v>41</v>
      </c>
      <c r="N109" s="170"/>
      <c r="O109" s="80"/>
      <c r="P109" s="170"/>
      <c r="Q109" s="170"/>
      <c r="R109" s="170"/>
      <c r="S109" s="170"/>
      <c r="T109" s="170"/>
      <c r="U109" s="351"/>
      <c r="V109" s="351"/>
      <c r="W109" s="80"/>
      <c r="X109" s="170"/>
      <c r="Y109" s="351"/>
      <c r="Z109" s="351"/>
      <c r="AA109" s="80"/>
      <c r="AB109" s="80"/>
      <c r="AC109" s="80"/>
      <c r="AD109" s="351"/>
      <c r="AE109" s="351"/>
      <c r="AF109" s="170"/>
      <c r="AG109" s="351"/>
      <c r="AH109" s="351"/>
      <c r="AI109" s="80"/>
      <c r="AJ109" s="80"/>
      <c r="AK109" s="80"/>
      <c r="AL109" s="351"/>
      <c r="AM109" s="351"/>
      <c r="AN109" s="80"/>
      <c r="AO109" s="80"/>
      <c r="AP109" s="80"/>
      <c r="AQ109" s="80"/>
      <c r="AR109" s="96"/>
      <c r="AS109" s="97"/>
    </row>
    <row r="110" spans="1:47" ht="18" customHeight="1" thickTop="1" thickBot="1">
      <c r="A110" s="302"/>
      <c r="B110" s="302"/>
      <c r="C110" s="302"/>
      <c r="D110" s="302"/>
      <c r="E110" s="302"/>
      <c r="F110" s="302"/>
      <c r="H110" s="305" t="s">
        <v>57</v>
      </c>
      <c r="I110" s="306"/>
      <c r="J110" s="78"/>
      <c r="K110" s="171"/>
      <c r="L110" s="171"/>
      <c r="M110" s="78" t="s">
        <v>11</v>
      </c>
      <c r="N110" s="171"/>
      <c r="O110" s="171"/>
      <c r="P110" s="171"/>
      <c r="Q110" s="171"/>
      <c r="R110" s="171"/>
      <c r="S110" s="171"/>
      <c r="T110" s="171"/>
      <c r="U110" s="99" t="s">
        <v>11</v>
      </c>
      <c r="V110" s="171"/>
      <c r="W110" s="99" t="s">
        <v>11</v>
      </c>
      <c r="X110" s="171"/>
      <c r="Y110" s="171"/>
      <c r="Z110" s="171"/>
      <c r="AA110" s="171"/>
      <c r="AB110" s="171"/>
      <c r="AC110" s="78" t="s">
        <v>11</v>
      </c>
      <c r="AD110" s="78" t="s">
        <v>250</v>
      </c>
      <c r="AE110" s="78" t="s">
        <v>11</v>
      </c>
      <c r="AF110" s="171"/>
      <c r="AG110" s="171"/>
      <c r="AH110" s="99" t="s">
        <v>11</v>
      </c>
      <c r="AI110" s="171"/>
      <c r="AJ110" s="79" t="s">
        <v>11</v>
      </c>
      <c r="AK110" s="285"/>
      <c r="AL110" s="78"/>
      <c r="AM110" s="171"/>
      <c r="AN110" s="171"/>
      <c r="AO110" s="99" t="s">
        <v>11</v>
      </c>
      <c r="AP110" s="193" t="s">
        <v>56</v>
      </c>
      <c r="AQ110" s="78"/>
      <c r="AR110" s="78"/>
      <c r="AS110" s="99" t="s">
        <v>11</v>
      </c>
      <c r="AT110" s="54"/>
      <c r="AU110" s="52"/>
    </row>
    <row r="111" spans="1:47" ht="18" customHeight="1" thickTop="1">
      <c r="A111" s="302"/>
      <c r="B111" s="302"/>
      <c r="C111" s="302"/>
      <c r="D111" s="302"/>
      <c r="E111" s="302"/>
      <c r="F111" s="302"/>
      <c r="H111" s="307"/>
      <c r="I111" s="308"/>
      <c r="J111" s="64"/>
      <c r="K111" s="45"/>
      <c r="L111" s="45"/>
      <c r="M111" s="11"/>
      <c r="N111" s="45"/>
      <c r="O111" s="45"/>
      <c r="P111" s="45"/>
      <c r="Q111" s="45"/>
      <c r="R111" s="45"/>
      <c r="S111" s="45"/>
      <c r="T111" s="45"/>
      <c r="U111" s="11" t="s">
        <v>288</v>
      </c>
      <c r="V111" s="45"/>
      <c r="W111" s="11"/>
      <c r="X111" s="45"/>
      <c r="Y111" s="45"/>
      <c r="Z111" s="45"/>
      <c r="AA111" s="45"/>
      <c r="AB111" s="45"/>
      <c r="AC111" s="11"/>
      <c r="AD111" s="11"/>
      <c r="AE111" s="11"/>
      <c r="AF111" s="11"/>
      <c r="AG111" s="45"/>
      <c r="AH111" s="11"/>
      <c r="AI111" s="45"/>
      <c r="AJ111" s="11"/>
      <c r="AK111" s="60"/>
      <c r="AL111" s="11"/>
      <c r="AM111" s="45"/>
      <c r="AN111" s="45"/>
      <c r="AO111" s="11"/>
      <c r="AP111" s="64" t="s">
        <v>213</v>
      </c>
      <c r="AQ111" s="107"/>
      <c r="AR111" s="11"/>
      <c r="AS111" s="179"/>
      <c r="AT111" s="137"/>
    </row>
    <row r="112" spans="1:47" ht="12" customHeight="1" thickBot="1">
      <c r="H112" s="309"/>
      <c r="I112" s="3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80"/>
      <c r="AD112" s="11"/>
      <c r="AE112" s="11"/>
      <c r="AG112" s="11"/>
      <c r="AH112" s="11"/>
      <c r="AI112" s="11"/>
      <c r="AJ112" s="61"/>
      <c r="AK112" s="62"/>
      <c r="AL112" s="11"/>
      <c r="AM112" s="11"/>
      <c r="AN112" s="11"/>
      <c r="AO112" s="11"/>
      <c r="AP112" s="11"/>
      <c r="AQ112" s="11"/>
      <c r="AR112" s="11"/>
      <c r="AS112" s="62"/>
    </row>
    <row r="113" spans="8:45" ht="12" customHeight="1" thickTop="1" thickBot="1">
      <c r="H113" s="311"/>
      <c r="I113" s="312"/>
      <c r="J113" s="7"/>
      <c r="K113" s="80"/>
      <c r="L113" s="80"/>
      <c r="M113" s="80"/>
      <c r="N113" s="80"/>
      <c r="O113" s="80"/>
      <c r="P113" s="23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D113" s="172"/>
      <c r="AE113" s="80"/>
      <c r="AF113" s="80"/>
      <c r="AG113" s="80"/>
      <c r="AH113" s="80"/>
      <c r="AI113" s="80"/>
      <c r="AJ113" s="85"/>
      <c r="AK113" s="97"/>
      <c r="AL113" s="80"/>
      <c r="AM113" s="80"/>
      <c r="AN113" s="80"/>
      <c r="AO113" s="80"/>
      <c r="AP113" s="80"/>
      <c r="AQ113" s="80"/>
      <c r="AR113" s="80"/>
      <c r="AS113" s="97"/>
    </row>
    <row r="114" spans="8:45" ht="18" customHeight="1" thickTop="1">
      <c r="H114" s="300" t="s">
        <v>271</v>
      </c>
      <c r="I114" s="300"/>
      <c r="J114" s="78"/>
      <c r="K114" s="78"/>
      <c r="L114" s="78" t="s">
        <v>11</v>
      </c>
      <c r="M114" s="221" t="s">
        <v>78</v>
      </c>
      <c r="N114" s="171"/>
      <c r="O114" s="171"/>
      <c r="P114" s="45"/>
      <c r="Q114" s="45"/>
      <c r="R114" s="350" t="s">
        <v>257</v>
      </c>
      <c r="S114" s="350"/>
      <c r="T114" s="78" t="s">
        <v>11</v>
      </c>
      <c r="U114" s="171"/>
      <c r="V114" s="171"/>
      <c r="W114" s="171"/>
      <c r="X114" s="78" t="s">
        <v>11</v>
      </c>
      <c r="Y114" s="171"/>
      <c r="Z114" s="171"/>
      <c r="AA114" s="171"/>
      <c r="AB114" s="171"/>
      <c r="AC114" s="171"/>
      <c r="AD114" s="350" t="s">
        <v>257</v>
      </c>
      <c r="AE114" s="350"/>
      <c r="AF114" s="99" t="s">
        <v>11</v>
      </c>
      <c r="AG114" s="45"/>
      <c r="AH114" s="350" t="s">
        <v>257</v>
      </c>
      <c r="AI114" s="350"/>
      <c r="AJ114" s="78" t="s">
        <v>11</v>
      </c>
      <c r="AK114" s="350" t="s">
        <v>257</v>
      </c>
      <c r="AL114" s="350"/>
      <c r="AM114" s="246"/>
      <c r="AN114" s="78" t="s">
        <v>11</v>
      </c>
      <c r="AO114" s="350" t="s">
        <v>257</v>
      </c>
      <c r="AP114" s="350"/>
      <c r="AQ114" s="350" t="s">
        <v>257</v>
      </c>
      <c r="AR114" s="350"/>
      <c r="AS114" s="92"/>
    </row>
    <row r="115" spans="8:45" ht="18" customHeight="1" thickBot="1">
      <c r="H115" s="403"/>
      <c r="I115" s="403"/>
      <c r="J115" s="7"/>
      <c r="K115" s="7"/>
      <c r="L115" s="89"/>
      <c r="M115" s="237" t="s">
        <v>78</v>
      </c>
      <c r="N115" s="246"/>
      <c r="O115" s="246"/>
      <c r="P115" s="170"/>
      <c r="Q115" s="170"/>
      <c r="R115" s="313"/>
      <c r="S115" s="313"/>
      <c r="T115" s="7"/>
      <c r="U115" s="246"/>
      <c r="V115" s="246"/>
      <c r="W115" s="246"/>
      <c r="X115" s="7"/>
      <c r="Y115" s="246"/>
      <c r="Z115" s="246"/>
      <c r="AA115" s="246"/>
      <c r="AB115" s="246"/>
      <c r="AC115" s="246"/>
      <c r="AD115" s="351"/>
      <c r="AE115" s="351"/>
      <c r="AF115" s="7"/>
      <c r="AG115" s="170"/>
      <c r="AH115" s="351"/>
      <c r="AI115" s="351"/>
      <c r="AJ115" s="7"/>
      <c r="AK115" s="351"/>
      <c r="AL115" s="351"/>
      <c r="AM115" s="246"/>
      <c r="AN115" s="7"/>
      <c r="AO115" s="351"/>
      <c r="AP115" s="351"/>
      <c r="AQ115" s="351"/>
      <c r="AR115" s="351"/>
      <c r="AS115" s="65"/>
    </row>
    <row r="116" spans="8:45" ht="18" customHeight="1" thickTop="1">
      <c r="H116" s="340" t="s">
        <v>291</v>
      </c>
      <c r="I116" s="340"/>
      <c r="J116" s="78"/>
      <c r="K116" s="78"/>
      <c r="L116" s="79"/>
      <c r="M116" s="91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283"/>
      <c r="AA116" s="283"/>
      <c r="AB116" s="78"/>
      <c r="AC116" s="283"/>
      <c r="AD116" s="283"/>
      <c r="AE116" s="78"/>
      <c r="AF116" s="78"/>
      <c r="AG116" s="78"/>
      <c r="AH116" s="283"/>
      <c r="AI116" s="283"/>
      <c r="AJ116" s="283"/>
      <c r="AK116" s="78"/>
      <c r="AL116" s="283"/>
      <c r="AM116" s="78"/>
      <c r="AN116" s="78"/>
      <c r="AO116" s="78"/>
      <c r="AP116" s="78"/>
      <c r="AQ116" s="78"/>
      <c r="AR116" s="91"/>
      <c r="AS116" s="92"/>
    </row>
    <row r="117" spans="8:45" ht="18" customHeight="1" thickBot="1">
      <c r="H117" s="376"/>
      <c r="I117" s="376"/>
      <c r="J117" s="80"/>
      <c r="K117" s="80"/>
      <c r="L117" s="85"/>
      <c r="M117" s="96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284"/>
      <c r="AA117" s="284"/>
      <c r="AB117" s="80"/>
      <c r="AC117" s="284"/>
      <c r="AD117" s="284"/>
      <c r="AE117" s="80"/>
      <c r="AF117" s="80"/>
      <c r="AG117" s="80"/>
      <c r="AH117" s="284"/>
      <c r="AI117" s="284"/>
      <c r="AJ117" s="284"/>
      <c r="AK117" s="80"/>
      <c r="AL117" s="284"/>
      <c r="AM117" s="80"/>
      <c r="AN117" s="80"/>
      <c r="AO117" s="80"/>
      <c r="AP117" s="80"/>
      <c r="AQ117" s="80"/>
      <c r="AR117" s="96"/>
      <c r="AS117" s="97"/>
    </row>
    <row r="118" spans="8:45" ht="18" customHeight="1" thickTop="1">
      <c r="H118" s="375" t="s">
        <v>184</v>
      </c>
      <c r="I118" s="375"/>
      <c r="J118" s="182"/>
      <c r="K118" s="182"/>
      <c r="L118" s="247"/>
      <c r="M118" s="244"/>
      <c r="N118" s="182"/>
      <c r="O118" s="182"/>
      <c r="P118" s="248"/>
      <c r="Q118" s="182"/>
      <c r="R118" s="182"/>
      <c r="S118" s="182"/>
      <c r="T118" s="182"/>
      <c r="U118" s="182"/>
      <c r="V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243"/>
      <c r="AR118" s="244"/>
      <c r="AS118" s="184"/>
    </row>
    <row r="119" spans="8:45" ht="18" customHeight="1">
      <c r="H119" s="341"/>
      <c r="I119" s="341"/>
      <c r="J119" s="166">
        <v>2.5</v>
      </c>
      <c r="K119" s="11">
        <v>2</v>
      </c>
      <c r="L119" s="10">
        <v>3</v>
      </c>
      <c r="M119" s="168"/>
      <c r="N119" s="166"/>
      <c r="O119" s="166"/>
      <c r="P119" s="231"/>
      <c r="Q119" s="166"/>
      <c r="R119" s="166"/>
      <c r="S119" s="166"/>
      <c r="T119" s="166"/>
      <c r="U119" s="166"/>
      <c r="V119" s="166"/>
      <c r="W119" s="11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1"/>
      <c r="AL119" s="11"/>
      <c r="AM119" s="11"/>
      <c r="AN119" s="11"/>
      <c r="AO119" s="11"/>
      <c r="AP119" s="11"/>
      <c r="AQ119" s="61"/>
      <c r="AR119" s="60"/>
      <c r="AS119" s="62"/>
    </row>
    <row r="120" spans="8:45">
      <c r="AA120" s="93" t="s">
        <v>175</v>
      </c>
    </row>
  </sheetData>
  <mergeCells count="458">
    <mergeCell ref="AR102:AS102"/>
    <mergeCell ref="R105:W105"/>
    <mergeCell ref="R114:S115"/>
    <mergeCell ref="AD114:AE115"/>
    <mergeCell ref="AH114:AI115"/>
    <mergeCell ref="AK114:AL115"/>
    <mergeCell ref="AO114:AP115"/>
    <mergeCell ref="AQ114:AR11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H112:I113"/>
    <mergeCell ref="H114:I115"/>
    <mergeCell ref="Y108:Z109"/>
    <mergeCell ref="U108:V109"/>
    <mergeCell ref="AD108:AE109"/>
    <mergeCell ref="AG108:AH109"/>
    <mergeCell ref="AL108:AM109"/>
    <mergeCell ref="G86:G87"/>
    <mergeCell ref="H86:H87"/>
    <mergeCell ref="I86:I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A88:A89"/>
    <mergeCell ref="B88:B89"/>
    <mergeCell ref="C88:C89"/>
    <mergeCell ref="D88:D89"/>
    <mergeCell ref="I88:I89"/>
    <mergeCell ref="A82:A83"/>
    <mergeCell ref="B82:B83"/>
    <mergeCell ref="C82:C83"/>
    <mergeCell ref="D82:D83"/>
    <mergeCell ref="E82:E83"/>
    <mergeCell ref="F82:F83"/>
    <mergeCell ref="G82:G83"/>
    <mergeCell ref="H82:H83"/>
    <mergeCell ref="F88:F89"/>
    <mergeCell ref="G88:G89"/>
    <mergeCell ref="H88:H89"/>
    <mergeCell ref="E88:E89"/>
    <mergeCell ref="I82:I83"/>
    <mergeCell ref="A86:A87"/>
    <mergeCell ref="B86:B87"/>
    <mergeCell ref="C86:C87"/>
    <mergeCell ref="D86:D87"/>
    <mergeCell ref="E86:E87"/>
    <mergeCell ref="F86:F87"/>
    <mergeCell ref="G76:G77"/>
    <mergeCell ref="H76:H77"/>
    <mergeCell ref="I76:I77"/>
    <mergeCell ref="A78:A79"/>
    <mergeCell ref="A1:AR1"/>
    <mergeCell ref="AP2:AR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G8:G9"/>
    <mergeCell ref="H8:H9"/>
    <mergeCell ref="I8:I9"/>
    <mergeCell ref="A10:A11"/>
    <mergeCell ref="B10:B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F8:F9"/>
    <mergeCell ref="H10:H11"/>
    <mergeCell ref="I10:I11"/>
    <mergeCell ref="I16:I1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F14:F15"/>
    <mergeCell ref="G14:G15"/>
    <mergeCell ref="H14:H15"/>
    <mergeCell ref="I14:I15"/>
    <mergeCell ref="G16:G17"/>
    <mergeCell ref="A22:A23"/>
    <mergeCell ref="B22:B23"/>
    <mergeCell ref="C22:C23"/>
    <mergeCell ref="D22:D23"/>
    <mergeCell ref="E22:E23"/>
    <mergeCell ref="F22:F23"/>
    <mergeCell ref="G22:G23"/>
    <mergeCell ref="H22:H23"/>
    <mergeCell ref="C18:C19"/>
    <mergeCell ref="D18:D19"/>
    <mergeCell ref="E18:E19"/>
    <mergeCell ref="F18:F19"/>
    <mergeCell ref="G18:G19"/>
    <mergeCell ref="H16:H17"/>
    <mergeCell ref="I22:I23"/>
    <mergeCell ref="H18:H19"/>
    <mergeCell ref="I18:I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A18:A19"/>
    <mergeCell ref="B18:B19"/>
    <mergeCell ref="G24:G25"/>
    <mergeCell ref="H24:H25"/>
    <mergeCell ref="I24:I25"/>
    <mergeCell ref="A26:A27"/>
    <mergeCell ref="B26:B27"/>
    <mergeCell ref="C26:C27"/>
    <mergeCell ref="D26:D27"/>
    <mergeCell ref="E26:E27"/>
    <mergeCell ref="F26:F27"/>
    <mergeCell ref="G26:G27"/>
    <mergeCell ref="A24:A25"/>
    <mergeCell ref="B24:B25"/>
    <mergeCell ref="C24:C25"/>
    <mergeCell ref="D24:D25"/>
    <mergeCell ref="E24:E25"/>
    <mergeCell ref="F24:F25"/>
    <mergeCell ref="H26:H27"/>
    <mergeCell ref="I26:I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G32:G33"/>
    <mergeCell ref="H32:H33"/>
    <mergeCell ref="I32:I33"/>
    <mergeCell ref="A34:A35"/>
    <mergeCell ref="B34:B35"/>
    <mergeCell ref="C34:C35"/>
    <mergeCell ref="D34:D35"/>
    <mergeCell ref="E34:E35"/>
    <mergeCell ref="F34:F35"/>
    <mergeCell ref="G34:G35"/>
    <mergeCell ref="A32:A33"/>
    <mergeCell ref="B32:B33"/>
    <mergeCell ref="C32:C33"/>
    <mergeCell ref="D32:D33"/>
    <mergeCell ref="E32:E33"/>
    <mergeCell ref="F32:F33"/>
    <mergeCell ref="H34:H35"/>
    <mergeCell ref="I34:I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G40:G41"/>
    <mergeCell ref="H40:H41"/>
    <mergeCell ref="I40:I41"/>
    <mergeCell ref="A42:A43"/>
    <mergeCell ref="B42:B43"/>
    <mergeCell ref="C42:C43"/>
    <mergeCell ref="D42:D43"/>
    <mergeCell ref="E42:E43"/>
    <mergeCell ref="F42:F43"/>
    <mergeCell ref="G42:G43"/>
    <mergeCell ref="A40:A41"/>
    <mergeCell ref="B40:B41"/>
    <mergeCell ref="C40:C41"/>
    <mergeCell ref="D40:D41"/>
    <mergeCell ref="E40:E41"/>
    <mergeCell ref="F40:F41"/>
    <mergeCell ref="H42:H43"/>
    <mergeCell ref="I42:I43"/>
    <mergeCell ref="G46:G47"/>
    <mergeCell ref="H46:H47"/>
    <mergeCell ref="I46:I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76:A77"/>
    <mergeCell ref="B76:B77"/>
    <mergeCell ref="C76:C77"/>
    <mergeCell ref="D76:D77"/>
    <mergeCell ref="E76:E77"/>
    <mergeCell ref="F76:F77"/>
    <mergeCell ref="A46:A47"/>
    <mergeCell ref="B46:B47"/>
    <mergeCell ref="C46:C47"/>
    <mergeCell ref="D46:D47"/>
    <mergeCell ref="E46:E47"/>
    <mergeCell ref="F46:F47"/>
    <mergeCell ref="A48:A49"/>
    <mergeCell ref="B48:B49"/>
    <mergeCell ref="C48:C49"/>
    <mergeCell ref="D48:D49"/>
    <mergeCell ref="E48:E49"/>
    <mergeCell ref="F48:F49"/>
    <mergeCell ref="A68:A69"/>
    <mergeCell ref="B68:B69"/>
    <mergeCell ref="C68:C69"/>
    <mergeCell ref="D68:D69"/>
    <mergeCell ref="E68:E69"/>
    <mergeCell ref="F68:F69"/>
    <mergeCell ref="H78:H79"/>
    <mergeCell ref="I78:I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78:B79"/>
    <mergeCell ref="C78:C79"/>
    <mergeCell ref="D78:D79"/>
    <mergeCell ref="E78:E79"/>
    <mergeCell ref="F78:F79"/>
    <mergeCell ref="G78:G79"/>
    <mergeCell ref="H118:I119"/>
    <mergeCell ref="G98:G99"/>
    <mergeCell ref="H98:H99"/>
    <mergeCell ref="I98:I99"/>
    <mergeCell ref="A108:F111"/>
    <mergeCell ref="H108:I109"/>
    <mergeCell ref="H110:I111"/>
    <mergeCell ref="A98:A99"/>
    <mergeCell ref="B98:B99"/>
    <mergeCell ref="C98:C99"/>
    <mergeCell ref="D98:D99"/>
    <mergeCell ref="E98:E99"/>
    <mergeCell ref="F98:F99"/>
    <mergeCell ref="H116:I117"/>
    <mergeCell ref="B104:C104"/>
    <mergeCell ref="B105:C105"/>
    <mergeCell ref="H101:L101"/>
    <mergeCell ref="H102:L102"/>
    <mergeCell ref="B102:C103"/>
    <mergeCell ref="G48:G49"/>
    <mergeCell ref="H48:H49"/>
    <mergeCell ref="I48:I49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A52:A53"/>
    <mergeCell ref="B52:B53"/>
    <mergeCell ref="C52:C53"/>
    <mergeCell ref="G68:G69"/>
    <mergeCell ref="H68:H69"/>
    <mergeCell ref="I68:I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D52:D53"/>
    <mergeCell ref="E52:E53"/>
    <mergeCell ref="F52:F53"/>
    <mergeCell ref="G52:G53"/>
    <mergeCell ref="H52:H53"/>
    <mergeCell ref="I52:I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D94:D95"/>
    <mergeCell ref="E94:E95"/>
    <mergeCell ref="F94:F95"/>
    <mergeCell ref="G94:G95"/>
    <mergeCell ref="H94:H95"/>
    <mergeCell ref="I94:I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A94:A95"/>
    <mergeCell ref="B94:B95"/>
    <mergeCell ref="C94:C95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</mergeCells>
  <phoneticPr fontId="3"/>
  <printOptions horizontalCentered="1"/>
  <pageMargins left="0.31496062992125984" right="0.31496062992125984" top="0.74803149606299213" bottom="0.74803149606299213" header="0.31496062992125984" footer="0.31496062992125984"/>
  <pageSetup paperSize="8" scale="5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2987-AA83-4BBA-8884-6DC486A05F2C}">
  <sheetPr>
    <pageSetUpPr fitToPage="1"/>
  </sheetPr>
  <dimension ref="A1:AT69"/>
  <sheetViews>
    <sheetView topLeftCell="B3" zoomScale="94" zoomScaleNormal="70" workbookViewId="0">
      <selection activeCell="AA50" sqref="AA50"/>
    </sheetView>
  </sheetViews>
  <sheetFormatPr defaultColWidth="8.69921875" defaultRowHeight="15" outlineLevelRow="1"/>
  <cols>
    <col min="1" max="1" width="4.19921875" style="1" bestFit="1" customWidth="1"/>
    <col min="2" max="3" width="5.19921875" style="1" customWidth="1"/>
    <col min="4" max="6" width="9.69921875" style="1" customWidth="1"/>
    <col min="7" max="7" width="10.19921875" style="1" bestFit="1" customWidth="1"/>
    <col min="8" max="8" width="10.69921875" style="1" customWidth="1"/>
    <col min="9" max="9" width="12.59765625" style="1" bestFit="1" customWidth="1"/>
    <col min="10" max="44" width="5.19921875" style="1" customWidth="1"/>
    <col min="45" max="45" width="8.69921875" style="1" customWidth="1"/>
    <col min="46" max="46" width="10.59765625" style="1" customWidth="1"/>
    <col min="47" max="16384" width="8.69921875" style="1"/>
  </cols>
  <sheetData>
    <row r="1" spans="1:44" ht="18.600000000000001">
      <c r="A1" s="320" t="s">
        <v>187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8"/>
    </row>
    <row r="2" spans="1:44" ht="15" customHeight="1">
      <c r="A2" s="2"/>
      <c r="J2" s="42"/>
      <c r="K2" s="42"/>
      <c r="L2" s="42"/>
      <c r="M2" s="42"/>
      <c r="W2" s="5"/>
      <c r="X2" s="5"/>
      <c r="Y2" s="5"/>
      <c r="Z2" s="5"/>
      <c r="AA2" s="5"/>
      <c r="AB2" s="5"/>
      <c r="AC2" s="5"/>
      <c r="AO2" s="321">
        <f ca="1">TODAY()</f>
        <v>46177</v>
      </c>
      <c r="AP2" s="321"/>
      <c r="AQ2" s="321"/>
      <c r="AR2" s="105"/>
    </row>
    <row r="3" spans="1:44" ht="19.95" customHeight="1">
      <c r="A3" s="51" t="s">
        <v>53</v>
      </c>
      <c r="E3" s="2"/>
      <c r="F3" s="12"/>
      <c r="G3" s="12"/>
      <c r="H3" s="12"/>
      <c r="I3" s="12"/>
      <c r="J3" s="5">
        <f>COUNTA(J6:J49)*0.5</f>
        <v>15</v>
      </c>
      <c r="K3" s="5"/>
      <c r="L3" s="5">
        <f t="shared" ref="L3:AQ3" si="0">COUNTA(L6:L49)*0.5</f>
        <v>12</v>
      </c>
      <c r="M3" s="5">
        <f t="shared" si="0"/>
        <v>12.5</v>
      </c>
      <c r="N3" s="5">
        <f t="shared" si="0"/>
        <v>14</v>
      </c>
      <c r="O3" s="5">
        <f t="shared" si="0"/>
        <v>14</v>
      </c>
      <c r="P3" s="5">
        <f t="shared" si="0"/>
        <v>15</v>
      </c>
      <c r="Q3" s="5">
        <f t="shared" si="0"/>
        <v>15</v>
      </c>
      <c r="R3" s="5">
        <f t="shared" si="0"/>
        <v>15</v>
      </c>
      <c r="S3" s="5">
        <f t="shared" si="0"/>
        <v>11</v>
      </c>
      <c r="T3" s="5">
        <f t="shared" si="0"/>
        <v>7</v>
      </c>
      <c r="U3" s="5">
        <f t="shared" si="0"/>
        <v>5</v>
      </c>
      <c r="V3" s="5">
        <f t="shared" si="0"/>
        <v>15</v>
      </c>
      <c r="W3" s="5">
        <f t="shared" si="0"/>
        <v>15</v>
      </c>
      <c r="X3" s="5">
        <f t="shared" si="0"/>
        <v>3</v>
      </c>
      <c r="Y3" s="5">
        <f t="shared" si="0"/>
        <v>3</v>
      </c>
      <c r="Z3" s="5">
        <f t="shared" si="0"/>
        <v>3</v>
      </c>
      <c r="AA3" s="5">
        <f t="shared" si="0"/>
        <v>3</v>
      </c>
      <c r="AB3" s="5">
        <f t="shared" si="0"/>
        <v>1</v>
      </c>
      <c r="AC3" s="5">
        <f t="shared" si="0"/>
        <v>15</v>
      </c>
      <c r="AD3" s="5">
        <f t="shared" si="0"/>
        <v>15</v>
      </c>
      <c r="AE3" s="5">
        <f t="shared" si="0"/>
        <v>1</v>
      </c>
      <c r="AF3" s="5">
        <f t="shared" si="0"/>
        <v>0</v>
      </c>
      <c r="AG3" s="5">
        <f t="shared" si="0"/>
        <v>0</v>
      </c>
      <c r="AH3" s="5">
        <f t="shared" si="0"/>
        <v>0</v>
      </c>
      <c r="AI3" s="5">
        <f t="shared" si="0"/>
        <v>0</v>
      </c>
      <c r="AJ3" s="5">
        <f t="shared" si="0"/>
        <v>15</v>
      </c>
      <c r="AK3" s="5">
        <f t="shared" si="0"/>
        <v>15</v>
      </c>
      <c r="AL3" s="5">
        <f t="shared" si="0"/>
        <v>0</v>
      </c>
      <c r="AM3" s="5">
        <f t="shared" si="0"/>
        <v>0</v>
      </c>
      <c r="AN3" s="5">
        <f t="shared" si="0"/>
        <v>15</v>
      </c>
      <c r="AO3" s="5">
        <f t="shared" si="0"/>
        <v>0</v>
      </c>
      <c r="AP3" s="5">
        <f t="shared" si="0"/>
        <v>0</v>
      </c>
      <c r="AQ3" s="5">
        <f t="shared" si="0"/>
        <v>0</v>
      </c>
      <c r="AR3" s="5"/>
    </row>
    <row r="4" spans="1:44" ht="15" customHeight="1">
      <c r="A4" s="322" t="s">
        <v>0</v>
      </c>
      <c r="B4" s="322" t="s">
        <v>1</v>
      </c>
      <c r="C4" s="322" t="s">
        <v>2</v>
      </c>
      <c r="D4" s="322" t="s">
        <v>3</v>
      </c>
      <c r="E4" s="322" t="s">
        <v>4</v>
      </c>
      <c r="F4" s="322" t="s">
        <v>44</v>
      </c>
      <c r="G4" s="322" t="s">
        <v>5</v>
      </c>
      <c r="H4" s="322" t="s">
        <v>6</v>
      </c>
      <c r="I4" s="322" t="s">
        <v>7</v>
      </c>
      <c r="J4" s="9">
        <v>16</v>
      </c>
      <c r="K4" s="56">
        <f t="shared" ref="K4:AR4" si="1">J4+1</f>
        <v>17</v>
      </c>
      <c r="L4" s="57">
        <f t="shared" si="1"/>
        <v>18</v>
      </c>
      <c r="M4" s="9">
        <f t="shared" si="1"/>
        <v>19</v>
      </c>
      <c r="N4" s="9">
        <f t="shared" si="1"/>
        <v>20</v>
      </c>
      <c r="O4" s="9">
        <f t="shared" si="1"/>
        <v>21</v>
      </c>
      <c r="P4" s="9">
        <f t="shared" si="1"/>
        <v>22</v>
      </c>
      <c r="Q4" s="9">
        <f t="shared" si="1"/>
        <v>23</v>
      </c>
      <c r="R4" s="9">
        <f t="shared" si="1"/>
        <v>24</v>
      </c>
      <c r="S4" s="9">
        <f t="shared" si="1"/>
        <v>25</v>
      </c>
      <c r="T4" s="9">
        <f t="shared" si="1"/>
        <v>26</v>
      </c>
      <c r="U4" s="9">
        <f t="shared" si="1"/>
        <v>27</v>
      </c>
      <c r="V4" s="9">
        <f t="shared" si="1"/>
        <v>28</v>
      </c>
      <c r="W4" s="9">
        <f t="shared" si="1"/>
        <v>29</v>
      </c>
      <c r="X4" s="9">
        <f t="shared" si="1"/>
        <v>30</v>
      </c>
      <c r="Y4" s="9">
        <v>1</v>
      </c>
      <c r="Z4" s="9">
        <f t="shared" si="1"/>
        <v>2</v>
      </c>
      <c r="AA4" s="9">
        <f t="shared" si="1"/>
        <v>3</v>
      </c>
      <c r="AB4" s="9">
        <f t="shared" si="1"/>
        <v>4</v>
      </c>
      <c r="AC4" s="9">
        <f t="shared" si="1"/>
        <v>5</v>
      </c>
      <c r="AD4" s="9">
        <f t="shared" si="1"/>
        <v>6</v>
      </c>
      <c r="AE4" s="9">
        <f t="shared" si="1"/>
        <v>7</v>
      </c>
      <c r="AF4" s="9">
        <f t="shared" si="1"/>
        <v>8</v>
      </c>
      <c r="AG4" s="9">
        <f t="shared" si="1"/>
        <v>9</v>
      </c>
      <c r="AH4" s="9">
        <f t="shared" si="1"/>
        <v>10</v>
      </c>
      <c r="AI4" s="9">
        <f t="shared" si="1"/>
        <v>11</v>
      </c>
      <c r="AJ4" s="9">
        <f t="shared" si="1"/>
        <v>12</v>
      </c>
      <c r="AK4" s="9">
        <f t="shared" si="1"/>
        <v>13</v>
      </c>
      <c r="AL4" s="9">
        <f t="shared" si="1"/>
        <v>14</v>
      </c>
      <c r="AM4" s="9">
        <f t="shared" si="1"/>
        <v>15</v>
      </c>
      <c r="AN4" s="9">
        <f t="shared" si="1"/>
        <v>16</v>
      </c>
      <c r="AO4" s="177">
        <f t="shared" si="1"/>
        <v>17</v>
      </c>
      <c r="AP4" s="57">
        <f t="shared" si="1"/>
        <v>18</v>
      </c>
      <c r="AQ4" s="9">
        <f t="shared" si="1"/>
        <v>19</v>
      </c>
      <c r="AR4" s="9">
        <f t="shared" si="1"/>
        <v>20</v>
      </c>
    </row>
    <row r="5" spans="1:44" ht="15" customHeight="1">
      <c r="A5" s="322"/>
      <c r="B5" s="322"/>
      <c r="C5" s="322"/>
      <c r="D5" s="322"/>
      <c r="E5" s="322"/>
      <c r="F5" s="322"/>
      <c r="G5" s="322"/>
      <c r="H5" s="322"/>
      <c r="I5" s="322"/>
      <c r="J5" s="30" t="s">
        <v>31</v>
      </c>
      <c r="K5" s="58" t="s">
        <v>32</v>
      </c>
      <c r="L5" s="59" t="s">
        <v>33</v>
      </c>
      <c r="M5" s="30" t="s">
        <v>34</v>
      </c>
      <c r="N5" s="31" t="s">
        <v>28</v>
      </c>
      <c r="O5" s="124" t="s">
        <v>29</v>
      </c>
      <c r="P5" s="30" t="s">
        <v>30</v>
      </c>
      <c r="Q5" s="30" t="s">
        <v>31</v>
      </c>
      <c r="R5" s="30" t="s">
        <v>32</v>
      </c>
      <c r="S5" s="30" t="s">
        <v>33</v>
      </c>
      <c r="T5" s="30" t="s">
        <v>34</v>
      </c>
      <c r="U5" s="31" t="s">
        <v>28</v>
      </c>
      <c r="V5" s="124" t="s">
        <v>29</v>
      </c>
      <c r="W5" s="30" t="s">
        <v>30</v>
      </c>
      <c r="X5" s="30" t="s">
        <v>31</v>
      </c>
      <c r="Y5" s="30" t="s">
        <v>32</v>
      </c>
      <c r="Z5" s="30" t="s">
        <v>33</v>
      </c>
      <c r="AA5" s="30" t="s">
        <v>34</v>
      </c>
      <c r="AB5" s="31" t="s">
        <v>28</v>
      </c>
      <c r="AC5" s="124" t="s">
        <v>29</v>
      </c>
      <c r="AD5" s="30" t="s">
        <v>30</v>
      </c>
      <c r="AE5" s="30" t="s">
        <v>31</v>
      </c>
      <c r="AF5" s="30" t="s">
        <v>32</v>
      </c>
      <c r="AG5" s="30" t="s">
        <v>33</v>
      </c>
      <c r="AH5" s="30" t="s">
        <v>34</v>
      </c>
      <c r="AI5" s="31" t="s">
        <v>28</v>
      </c>
      <c r="AJ5" s="124" t="s">
        <v>29</v>
      </c>
      <c r="AK5" s="30" t="s">
        <v>30</v>
      </c>
      <c r="AL5" s="30" t="s">
        <v>31</v>
      </c>
      <c r="AM5" s="30" t="s">
        <v>32</v>
      </c>
      <c r="AN5" s="30" t="s">
        <v>33</v>
      </c>
      <c r="AO5" s="178" t="s">
        <v>34</v>
      </c>
      <c r="AP5" s="73" t="s">
        <v>28</v>
      </c>
      <c r="AQ5" s="124" t="s">
        <v>29</v>
      </c>
      <c r="AR5" s="124" t="s">
        <v>188</v>
      </c>
    </row>
    <row r="6" spans="1:44" hidden="1" outlineLevel="1">
      <c r="A6" s="404">
        <v>7</v>
      </c>
      <c r="B6" s="404"/>
      <c r="C6" s="404"/>
      <c r="D6" s="404"/>
      <c r="E6" s="405" t="s">
        <v>176</v>
      </c>
      <c r="F6" s="404"/>
      <c r="G6" s="404">
        <v>2026</v>
      </c>
      <c r="H6" s="404"/>
      <c r="I6" s="404"/>
      <c r="J6" s="143" t="s">
        <v>78</v>
      </c>
      <c r="K6" s="154" t="s">
        <v>78</v>
      </c>
      <c r="L6" s="62" t="s">
        <v>11</v>
      </c>
      <c r="M6" s="143" t="s">
        <v>78</v>
      </c>
      <c r="N6" s="143" t="s">
        <v>78</v>
      </c>
      <c r="O6" s="62" t="s">
        <v>11</v>
      </c>
      <c r="P6" s="143" t="s">
        <v>78</v>
      </c>
      <c r="Q6" s="22" t="s">
        <v>8</v>
      </c>
      <c r="R6" s="22" t="s">
        <v>8</v>
      </c>
      <c r="S6" s="62"/>
      <c r="T6" s="62"/>
      <c r="U6" s="11"/>
      <c r="V6" s="62" t="s">
        <v>11</v>
      </c>
      <c r="W6" s="62" t="s">
        <v>11</v>
      </c>
      <c r="X6" s="11"/>
      <c r="Y6" s="11"/>
      <c r="Z6" s="62"/>
      <c r="AA6" s="62"/>
      <c r="AB6" s="62"/>
      <c r="AC6" s="62" t="s">
        <v>11</v>
      </c>
      <c r="AD6" s="62" t="s">
        <v>11</v>
      </c>
      <c r="AE6" s="11"/>
      <c r="AF6" s="62"/>
      <c r="AG6" s="62"/>
      <c r="AH6" s="62"/>
      <c r="AI6" s="62"/>
      <c r="AJ6" s="62" t="s">
        <v>11</v>
      </c>
      <c r="AK6" s="62" t="s">
        <v>11</v>
      </c>
      <c r="AL6" s="62"/>
      <c r="AM6" s="62"/>
      <c r="AN6" s="62" t="s">
        <v>56</v>
      </c>
      <c r="AO6" s="10"/>
      <c r="AP6" s="60"/>
      <c r="AQ6" s="11"/>
      <c r="AR6" s="62"/>
    </row>
    <row r="7" spans="1:44" hidden="1" outlineLevel="1">
      <c r="A7" s="404"/>
      <c r="B7" s="404"/>
      <c r="C7" s="404"/>
      <c r="D7" s="404"/>
      <c r="E7" s="405"/>
      <c r="F7" s="404"/>
      <c r="G7" s="404"/>
      <c r="H7" s="404"/>
      <c r="I7" s="404"/>
      <c r="J7" s="143" t="s">
        <v>78</v>
      </c>
      <c r="K7" s="154" t="s">
        <v>78</v>
      </c>
      <c r="L7" s="62" t="s">
        <v>11</v>
      </c>
      <c r="M7" s="143" t="s">
        <v>78</v>
      </c>
      <c r="N7" s="143" t="s">
        <v>78</v>
      </c>
      <c r="O7" s="62" t="s">
        <v>11</v>
      </c>
      <c r="P7" s="143" t="s">
        <v>78</v>
      </c>
      <c r="Q7" s="34" t="s">
        <v>79</v>
      </c>
      <c r="R7" s="34" t="s">
        <v>79</v>
      </c>
      <c r="S7" s="62"/>
      <c r="T7" s="62"/>
      <c r="U7" s="11"/>
      <c r="V7" s="62" t="s">
        <v>11</v>
      </c>
      <c r="W7" s="62" t="s">
        <v>11</v>
      </c>
      <c r="X7" s="11"/>
      <c r="Y7" s="11"/>
      <c r="Z7" s="62"/>
      <c r="AA7" s="62"/>
      <c r="AB7" s="62"/>
      <c r="AC7" s="62" t="s">
        <v>11</v>
      </c>
      <c r="AD7" s="62" t="s">
        <v>11</v>
      </c>
      <c r="AE7" s="11"/>
      <c r="AF7" s="62"/>
      <c r="AG7" s="62"/>
      <c r="AH7" s="62"/>
      <c r="AI7" s="62"/>
      <c r="AJ7" s="62" t="s">
        <v>11</v>
      </c>
      <c r="AK7" s="62" t="s">
        <v>11</v>
      </c>
      <c r="AL7" s="62"/>
      <c r="AM7" s="62"/>
      <c r="AN7" s="62" t="s">
        <v>56</v>
      </c>
      <c r="AO7" s="10"/>
      <c r="AP7" s="60"/>
      <c r="AQ7" s="11"/>
      <c r="AR7" s="62"/>
    </row>
    <row r="8" spans="1:44" hidden="1" outlineLevel="1">
      <c r="A8" s="292">
        <v>8</v>
      </c>
      <c r="B8" s="292"/>
      <c r="C8" s="292"/>
      <c r="D8" s="292"/>
      <c r="E8" s="335" t="s">
        <v>176</v>
      </c>
      <c r="F8" s="292"/>
      <c r="G8" s="292">
        <v>2026</v>
      </c>
      <c r="H8" s="292"/>
      <c r="I8" s="292"/>
      <c r="J8" s="143" t="s">
        <v>78</v>
      </c>
      <c r="K8" s="154" t="s">
        <v>78</v>
      </c>
      <c r="L8" s="62" t="s">
        <v>11</v>
      </c>
      <c r="M8" s="143" t="s">
        <v>78</v>
      </c>
      <c r="N8" s="143" t="s">
        <v>78</v>
      </c>
      <c r="O8" s="62" t="s">
        <v>11</v>
      </c>
      <c r="P8" s="143" t="s">
        <v>78</v>
      </c>
      <c r="Q8" s="22" t="s">
        <v>8</v>
      </c>
      <c r="R8" s="22" t="s">
        <v>8</v>
      </c>
      <c r="S8" s="62"/>
      <c r="T8" s="62"/>
      <c r="U8" s="11"/>
      <c r="V8" s="62" t="s">
        <v>11</v>
      </c>
      <c r="W8" s="62" t="s">
        <v>11</v>
      </c>
      <c r="X8" s="11"/>
      <c r="Y8" s="11"/>
      <c r="Z8" s="62"/>
      <c r="AA8" s="62"/>
      <c r="AB8" s="62"/>
      <c r="AC8" s="62" t="s">
        <v>11</v>
      </c>
      <c r="AD8" s="62" t="s">
        <v>11</v>
      </c>
      <c r="AE8" s="11"/>
      <c r="AF8" s="62"/>
      <c r="AG8" s="62"/>
      <c r="AH8" s="62"/>
      <c r="AI8" s="62"/>
      <c r="AJ8" s="62" t="s">
        <v>11</v>
      </c>
      <c r="AK8" s="62" t="s">
        <v>11</v>
      </c>
      <c r="AL8" s="62"/>
      <c r="AM8" s="62"/>
      <c r="AN8" s="62" t="s">
        <v>56</v>
      </c>
      <c r="AO8" s="10"/>
      <c r="AP8" s="60"/>
      <c r="AQ8" s="11"/>
      <c r="AR8" s="62"/>
    </row>
    <row r="9" spans="1:44" hidden="1" outlineLevel="1">
      <c r="A9" s="293"/>
      <c r="B9" s="293"/>
      <c r="C9" s="293"/>
      <c r="D9" s="293"/>
      <c r="E9" s="336"/>
      <c r="F9" s="293"/>
      <c r="G9" s="293"/>
      <c r="H9" s="293"/>
      <c r="I9" s="293"/>
      <c r="J9" s="143" t="s">
        <v>78</v>
      </c>
      <c r="K9" s="154" t="s">
        <v>78</v>
      </c>
      <c r="L9" s="62" t="s">
        <v>11</v>
      </c>
      <c r="M9" s="143" t="s">
        <v>78</v>
      </c>
      <c r="N9" s="143" t="s">
        <v>78</v>
      </c>
      <c r="O9" s="62" t="s">
        <v>11</v>
      </c>
      <c r="P9" s="143" t="s">
        <v>78</v>
      </c>
      <c r="Q9" s="34" t="s">
        <v>79</v>
      </c>
      <c r="R9" s="34" t="s">
        <v>79</v>
      </c>
      <c r="S9" s="62"/>
      <c r="T9" s="62"/>
      <c r="U9" s="11"/>
      <c r="V9" s="62" t="s">
        <v>11</v>
      </c>
      <c r="W9" s="62" t="s">
        <v>11</v>
      </c>
      <c r="X9" s="11"/>
      <c r="Y9" s="11"/>
      <c r="Z9" s="62"/>
      <c r="AA9" s="62"/>
      <c r="AB9" s="62"/>
      <c r="AC9" s="62" t="s">
        <v>11</v>
      </c>
      <c r="AD9" s="62" t="s">
        <v>11</v>
      </c>
      <c r="AE9" s="11"/>
      <c r="AF9" s="62"/>
      <c r="AG9" s="62"/>
      <c r="AH9" s="62"/>
      <c r="AI9" s="62"/>
      <c r="AJ9" s="62" t="s">
        <v>11</v>
      </c>
      <c r="AK9" s="62" t="s">
        <v>11</v>
      </c>
      <c r="AL9" s="62"/>
      <c r="AM9" s="62"/>
      <c r="AN9" s="62" t="s">
        <v>56</v>
      </c>
      <c r="AO9" s="10"/>
      <c r="AP9" s="60"/>
      <c r="AQ9" s="11"/>
      <c r="AR9" s="62"/>
    </row>
    <row r="10" spans="1:44" hidden="1" collapsed="1">
      <c r="A10" s="292">
        <v>9</v>
      </c>
      <c r="B10" s="292"/>
      <c r="C10" s="292"/>
      <c r="D10" s="292"/>
      <c r="E10" s="335" t="s">
        <v>176</v>
      </c>
      <c r="F10" s="292"/>
      <c r="G10" s="292">
        <v>2026</v>
      </c>
      <c r="H10" s="292"/>
      <c r="I10" s="292"/>
      <c r="J10" s="143" t="s">
        <v>78</v>
      </c>
      <c r="K10" s="154" t="s">
        <v>78</v>
      </c>
      <c r="L10" s="62" t="s">
        <v>11</v>
      </c>
      <c r="M10" s="143" t="s">
        <v>78</v>
      </c>
      <c r="N10" s="143" t="s">
        <v>78</v>
      </c>
      <c r="O10" s="62" t="s">
        <v>11</v>
      </c>
      <c r="P10" s="143" t="s">
        <v>78</v>
      </c>
      <c r="Q10" s="22" t="s">
        <v>8</v>
      </c>
      <c r="R10" s="22" t="s">
        <v>8</v>
      </c>
      <c r="S10" s="62"/>
      <c r="T10" s="62"/>
      <c r="U10" s="11"/>
      <c r="V10" s="62" t="s">
        <v>11</v>
      </c>
      <c r="W10" s="62" t="s">
        <v>11</v>
      </c>
      <c r="X10" s="11"/>
      <c r="Y10" s="11"/>
      <c r="Z10" s="62"/>
      <c r="AA10" s="62"/>
      <c r="AB10" s="62"/>
      <c r="AC10" s="62" t="s">
        <v>11</v>
      </c>
      <c r="AD10" s="62" t="s">
        <v>11</v>
      </c>
      <c r="AE10" s="11"/>
      <c r="AF10" s="62"/>
      <c r="AG10" s="62"/>
      <c r="AH10" s="62"/>
      <c r="AI10" s="62"/>
      <c r="AJ10" s="62" t="s">
        <v>11</v>
      </c>
      <c r="AK10" s="62" t="s">
        <v>11</v>
      </c>
      <c r="AL10" s="62"/>
      <c r="AM10" s="62"/>
      <c r="AN10" s="62" t="s">
        <v>56</v>
      </c>
      <c r="AO10" s="10"/>
      <c r="AP10" s="60"/>
      <c r="AQ10" s="11"/>
      <c r="AR10" s="62"/>
    </row>
    <row r="11" spans="1:44" hidden="1">
      <c r="A11" s="293"/>
      <c r="B11" s="293"/>
      <c r="C11" s="293"/>
      <c r="D11" s="293"/>
      <c r="E11" s="336"/>
      <c r="F11" s="293"/>
      <c r="G11" s="293"/>
      <c r="H11" s="293"/>
      <c r="I11" s="293"/>
      <c r="J11" s="143" t="s">
        <v>78</v>
      </c>
      <c r="K11" s="154" t="s">
        <v>78</v>
      </c>
      <c r="L11" s="62" t="s">
        <v>11</v>
      </c>
      <c r="M11" s="143" t="s">
        <v>78</v>
      </c>
      <c r="N11" s="143" t="s">
        <v>78</v>
      </c>
      <c r="O11" s="62" t="s">
        <v>11</v>
      </c>
      <c r="P11" s="143" t="s">
        <v>78</v>
      </c>
      <c r="Q11" s="34" t="s">
        <v>79</v>
      </c>
      <c r="R11" s="34" t="s">
        <v>79</v>
      </c>
      <c r="S11" s="62"/>
      <c r="T11" s="62"/>
      <c r="U11" s="11"/>
      <c r="V11" s="62" t="s">
        <v>11</v>
      </c>
      <c r="W11" s="62" t="s">
        <v>11</v>
      </c>
      <c r="X11" s="11"/>
      <c r="Y11" s="11"/>
      <c r="Z11" s="62"/>
      <c r="AA11" s="62"/>
      <c r="AB11" s="62"/>
      <c r="AC11" s="62" t="s">
        <v>11</v>
      </c>
      <c r="AD11" s="62" t="s">
        <v>11</v>
      </c>
      <c r="AE11" s="11"/>
      <c r="AF11" s="62"/>
      <c r="AG11" s="62"/>
      <c r="AH11" s="62"/>
      <c r="AI11" s="62"/>
      <c r="AJ11" s="62" t="s">
        <v>11</v>
      </c>
      <c r="AK11" s="62" t="s">
        <v>11</v>
      </c>
      <c r="AL11" s="62"/>
      <c r="AM11" s="62"/>
      <c r="AN11" s="62" t="s">
        <v>56</v>
      </c>
      <c r="AO11" s="10"/>
      <c r="AP11" s="60"/>
      <c r="AQ11" s="11"/>
      <c r="AR11" s="62"/>
    </row>
    <row r="12" spans="1:44" hidden="1">
      <c r="A12" s="292">
        <v>10</v>
      </c>
      <c r="B12" s="292"/>
      <c r="C12" s="292"/>
      <c r="D12" s="292"/>
      <c r="E12" s="335" t="s">
        <v>176</v>
      </c>
      <c r="F12" s="292"/>
      <c r="G12" s="292">
        <v>2026</v>
      </c>
      <c r="H12" s="292"/>
      <c r="I12" s="292"/>
      <c r="J12" s="143" t="s">
        <v>78</v>
      </c>
      <c r="K12" s="154" t="s">
        <v>78</v>
      </c>
      <c r="L12" s="62" t="s">
        <v>11</v>
      </c>
      <c r="M12" s="143" t="s">
        <v>78</v>
      </c>
      <c r="N12" s="143" t="s">
        <v>78</v>
      </c>
      <c r="O12" s="62" t="s">
        <v>11</v>
      </c>
      <c r="P12" s="143" t="s">
        <v>78</v>
      </c>
      <c r="Q12" s="22" t="s">
        <v>8</v>
      </c>
      <c r="R12" s="22" t="s">
        <v>8</v>
      </c>
      <c r="S12" s="11"/>
      <c r="T12" s="11"/>
      <c r="U12" s="11"/>
      <c r="V12" s="62" t="s">
        <v>11</v>
      </c>
      <c r="W12" s="62" t="s">
        <v>11</v>
      </c>
      <c r="X12" s="11"/>
      <c r="Y12" s="11"/>
      <c r="Z12" s="11"/>
      <c r="AA12" s="11"/>
      <c r="AB12" s="11"/>
      <c r="AC12" s="62" t="s">
        <v>11</v>
      </c>
      <c r="AD12" s="62" t="s">
        <v>11</v>
      </c>
      <c r="AE12" s="11"/>
      <c r="AF12" s="11"/>
      <c r="AG12" s="62"/>
      <c r="AH12" s="11"/>
      <c r="AI12" s="11"/>
      <c r="AJ12" s="62" t="s">
        <v>11</v>
      </c>
      <c r="AK12" s="62" t="s">
        <v>11</v>
      </c>
      <c r="AL12" s="11"/>
      <c r="AM12" s="11"/>
      <c r="AN12" s="62" t="s">
        <v>56</v>
      </c>
      <c r="AO12" s="10"/>
      <c r="AP12" s="60"/>
      <c r="AQ12" s="11"/>
      <c r="AR12" s="62"/>
    </row>
    <row r="13" spans="1:44" hidden="1">
      <c r="A13" s="293"/>
      <c r="B13" s="293"/>
      <c r="C13" s="293"/>
      <c r="D13" s="293"/>
      <c r="E13" s="336"/>
      <c r="F13" s="293"/>
      <c r="G13" s="293"/>
      <c r="H13" s="293"/>
      <c r="I13" s="293"/>
      <c r="J13" s="143" t="s">
        <v>78</v>
      </c>
      <c r="K13" s="154" t="s">
        <v>78</v>
      </c>
      <c r="L13" s="62" t="s">
        <v>11</v>
      </c>
      <c r="M13" s="143" t="s">
        <v>78</v>
      </c>
      <c r="N13" s="143" t="s">
        <v>78</v>
      </c>
      <c r="O13" s="62" t="s">
        <v>11</v>
      </c>
      <c r="P13" s="143" t="s">
        <v>78</v>
      </c>
      <c r="Q13" s="34" t="s">
        <v>79</v>
      </c>
      <c r="R13" s="34" t="s">
        <v>79</v>
      </c>
      <c r="S13" s="11"/>
      <c r="T13" s="11"/>
      <c r="U13" s="11"/>
      <c r="V13" s="62" t="s">
        <v>11</v>
      </c>
      <c r="W13" s="62" t="s">
        <v>11</v>
      </c>
      <c r="X13" s="11"/>
      <c r="Y13" s="11"/>
      <c r="Z13" s="11"/>
      <c r="AA13" s="11"/>
      <c r="AB13" s="11"/>
      <c r="AC13" s="62" t="s">
        <v>11</v>
      </c>
      <c r="AD13" s="62" t="s">
        <v>11</v>
      </c>
      <c r="AE13" s="11"/>
      <c r="AF13" s="11"/>
      <c r="AG13" s="62"/>
      <c r="AH13" s="11"/>
      <c r="AI13" s="11"/>
      <c r="AJ13" s="62" t="s">
        <v>11</v>
      </c>
      <c r="AK13" s="62" t="s">
        <v>11</v>
      </c>
      <c r="AL13" s="11"/>
      <c r="AM13" s="11"/>
      <c r="AN13" s="62" t="s">
        <v>56</v>
      </c>
      <c r="AO13" s="10"/>
      <c r="AP13" s="60"/>
      <c r="AQ13" s="11"/>
      <c r="AR13" s="62"/>
    </row>
    <row r="14" spans="1:44" hidden="1">
      <c r="A14" s="292">
        <v>11</v>
      </c>
      <c r="B14" s="292"/>
      <c r="C14" s="292"/>
      <c r="D14" s="292"/>
      <c r="E14" s="335" t="s">
        <v>176</v>
      </c>
      <c r="F14" s="292"/>
      <c r="G14" s="292">
        <v>2026</v>
      </c>
      <c r="H14" s="292"/>
      <c r="I14" s="292"/>
      <c r="J14" s="143" t="s">
        <v>78</v>
      </c>
      <c r="K14" s="61" t="s">
        <v>11</v>
      </c>
      <c r="L14" s="62" t="s">
        <v>11</v>
      </c>
      <c r="M14" s="143" t="s">
        <v>78</v>
      </c>
      <c r="N14" s="143" t="s">
        <v>78</v>
      </c>
      <c r="O14" s="62" t="s">
        <v>11</v>
      </c>
      <c r="P14" s="143" t="s">
        <v>78</v>
      </c>
      <c r="Q14" s="143" t="s">
        <v>78</v>
      </c>
      <c r="R14" s="22" t="s">
        <v>8</v>
      </c>
      <c r="S14" s="22" t="s">
        <v>8</v>
      </c>
      <c r="T14" s="11"/>
      <c r="U14" s="11"/>
      <c r="V14" s="62" t="s">
        <v>11</v>
      </c>
      <c r="W14" s="62" t="s">
        <v>11</v>
      </c>
      <c r="X14" s="11"/>
      <c r="Y14" s="11"/>
      <c r="Z14" s="11"/>
      <c r="AA14" s="11"/>
      <c r="AB14" s="11"/>
      <c r="AC14" s="62" t="s">
        <v>11</v>
      </c>
      <c r="AD14" s="62" t="s">
        <v>11</v>
      </c>
      <c r="AE14" s="11"/>
      <c r="AF14" s="11"/>
      <c r="AG14" s="62"/>
      <c r="AH14" s="11"/>
      <c r="AI14" s="11"/>
      <c r="AJ14" s="62" t="s">
        <v>11</v>
      </c>
      <c r="AK14" s="62" t="s">
        <v>11</v>
      </c>
      <c r="AL14" s="11"/>
      <c r="AM14" s="11"/>
      <c r="AN14" s="62" t="s">
        <v>56</v>
      </c>
      <c r="AO14" s="10"/>
      <c r="AP14" s="60"/>
      <c r="AQ14" s="11"/>
      <c r="AR14" s="62"/>
    </row>
    <row r="15" spans="1:44" hidden="1">
      <c r="A15" s="293"/>
      <c r="B15" s="293"/>
      <c r="C15" s="293"/>
      <c r="D15" s="293"/>
      <c r="E15" s="336"/>
      <c r="F15" s="293"/>
      <c r="G15" s="293"/>
      <c r="H15" s="293"/>
      <c r="I15" s="293"/>
      <c r="J15" s="143" t="s">
        <v>78</v>
      </c>
      <c r="K15" s="61" t="s">
        <v>11</v>
      </c>
      <c r="L15" s="62" t="s">
        <v>11</v>
      </c>
      <c r="M15" s="143" t="s">
        <v>78</v>
      </c>
      <c r="N15" s="143" t="s">
        <v>78</v>
      </c>
      <c r="O15" s="62" t="s">
        <v>11</v>
      </c>
      <c r="P15" s="143" t="s">
        <v>78</v>
      </c>
      <c r="Q15" s="143" t="s">
        <v>78</v>
      </c>
      <c r="R15" s="34" t="s">
        <v>79</v>
      </c>
      <c r="S15" s="34" t="s">
        <v>79</v>
      </c>
      <c r="T15" s="11"/>
      <c r="U15" s="11"/>
      <c r="V15" s="62" t="s">
        <v>11</v>
      </c>
      <c r="W15" s="62" t="s">
        <v>11</v>
      </c>
      <c r="X15" s="11"/>
      <c r="Y15" s="11"/>
      <c r="Z15" s="11"/>
      <c r="AA15" s="11"/>
      <c r="AB15" s="11"/>
      <c r="AC15" s="62" t="s">
        <v>11</v>
      </c>
      <c r="AD15" s="62" t="s">
        <v>11</v>
      </c>
      <c r="AE15" s="11"/>
      <c r="AF15" s="11"/>
      <c r="AG15" s="62"/>
      <c r="AH15" s="11"/>
      <c r="AI15" s="11"/>
      <c r="AJ15" s="62" t="s">
        <v>11</v>
      </c>
      <c r="AK15" s="62" t="s">
        <v>11</v>
      </c>
      <c r="AL15" s="11"/>
      <c r="AM15" s="11"/>
      <c r="AN15" s="62" t="s">
        <v>56</v>
      </c>
      <c r="AO15" s="10"/>
      <c r="AP15" s="60"/>
      <c r="AQ15" s="11"/>
      <c r="AR15" s="62"/>
    </row>
    <row r="16" spans="1:44" hidden="1">
      <c r="A16" s="292">
        <v>12</v>
      </c>
      <c r="B16" s="292"/>
      <c r="C16" s="292"/>
      <c r="D16" s="292"/>
      <c r="E16" s="335" t="s">
        <v>176</v>
      </c>
      <c r="F16" s="292"/>
      <c r="G16" s="292">
        <v>2026</v>
      </c>
      <c r="H16" s="292"/>
      <c r="I16" s="292"/>
      <c r="J16" s="143" t="s">
        <v>78</v>
      </c>
      <c r="K16" s="61" t="s">
        <v>11</v>
      </c>
      <c r="L16" s="62" t="s">
        <v>11</v>
      </c>
      <c r="M16" s="143" t="s">
        <v>78</v>
      </c>
      <c r="N16" s="143" t="s">
        <v>78</v>
      </c>
      <c r="O16" s="62" t="s">
        <v>11</v>
      </c>
      <c r="P16" s="143" t="s">
        <v>78</v>
      </c>
      <c r="Q16" s="143" t="s">
        <v>78</v>
      </c>
      <c r="R16" s="22" t="s">
        <v>8</v>
      </c>
      <c r="S16" s="22" t="s">
        <v>8</v>
      </c>
      <c r="T16" s="11"/>
      <c r="U16" s="11"/>
      <c r="V16" s="62" t="s">
        <v>11</v>
      </c>
      <c r="W16" s="62" t="s">
        <v>11</v>
      </c>
      <c r="X16" s="11"/>
      <c r="Y16" s="11"/>
      <c r="Z16" s="11"/>
      <c r="AA16" s="11"/>
      <c r="AB16" s="11"/>
      <c r="AC16" s="62" t="s">
        <v>11</v>
      </c>
      <c r="AD16" s="62" t="s">
        <v>11</v>
      </c>
      <c r="AE16" s="11"/>
      <c r="AF16" s="11"/>
      <c r="AG16" s="62"/>
      <c r="AH16" s="11"/>
      <c r="AI16" s="11"/>
      <c r="AJ16" s="62" t="s">
        <v>11</v>
      </c>
      <c r="AK16" s="62" t="s">
        <v>11</v>
      </c>
      <c r="AL16" s="11"/>
      <c r="AM16" s="11"/>
      <c r="AN16" s="62" t="s">
        <v>56</v>
      </c>
      <c r="AO16" s="10"/>
      <c r="AP16" s="60"/>
      <c r="AQ16" s="11"/>
      <c r="AR16" s="62"/>
    </row>
    <row r="17" spans="1:44" hidden="1">
      <c r="A17" s="293"/>
      <c r="B17" s="293"/>
      <c r="C17" s="293"/>
      <c r="D17" s="293"/>
      <c r="E17" s="336"/>
      <c r="F17" s="293"/>
      <c r="G17" s="293"/>
      <c r="H17" s="293"/>
      <c r="I17" s="293"/>
      <c r="J17" s="143" t="s">
        <v>78</v>
      </c>
      <c r="K17" s="61" t="s">
        <v>11</v>
      </c>
      <c r="L17" s="62" t="s">
        <v>11</v>
      </c>
      <c r="M17" s="143" t="s">
        <v>78</v>
      </c>
      <c r="N17" s="143" t="s">
        <v>78</v>
      </c>
      <c r="O17" s="62" t="s">
        <v>11</v>
      </c>
      <c r="P17" s="143" t="s">
        <v>78</v>
      </c>
      <c r="Q17" s="143" t="s">
        <v>78</v>
      </c>
      <c r="R17" s="34" t="s">
        <v>79</v>
      </c>
      <c r="S17" s="34" t="s">
        <v>79</v>
      </c>
      <c r="T17" s="11"/>
      <c r="U17" s="11"/>
      <c r="V17" s="62" t="s">
        <v>11</v>
      </c>
      <c r="W17" s="62" t="s">
        <v>11</v>
      </c>
      <c r="X17" s="11"/>
      <c r="Y17" s="11"/>
      <c r="Z17" s="11"/>
      <c r="AA17" s="11"/>
      <c r="AB17" s="11"/>
      <c r="AC17" s="62" t="s">
        <v>11</v>
      </c>
      <c r="AD17" s="62" t="s">
        <v>11</v>
      </c>
      <c r="AE17" s="11"/>
      <c r="AF17" s="11"/>
      <c r="AG17" s="62"/>
      <c r="AH17" s="11"/>
      <c r="AI17" s="11"/>
      <c r="AJ17" s="62" t="s">
        <v>11</v>
      </c>
      <c r="AK17" s="62" t="s">
        <v>11</v>
      </c>
      <c r="AL17" s="11"/>
      <c r="AM17" s="11"/>
      <c r="AN17" s="62" t="s">
        <v>56</v>
      </c>
      <c r="AO17" s="10"/>
      <c r="AP17" s="60"/>
      <c r="AQ17" s="11"/>
      <c r="AR17" s="62"/>
    </row>
    <row r="18" spans="1:44" hidden="1">
      <c r="A18" s="292">
        <v>13</v>
      </c>
      <c r="B18" s="292"/>
      <c r="C18" s="292"/>
      <c r="D18" s="292"/>
      <c r="E18" s="335" t="s">
        <v>176</v>
      </c>
      <c r="F18" s="292"/>
      <c r="G18" s="292">
        <v>2026</v>
      </c>
      <c r="H18" s="292"/>
      <c r="I18" s="292"/>
      <c r="J18" s="143" t="s">
        <v>78</v>
      </c>
      <c r="K18" s="61" t="s">
        <v>11</v>
      </c>
      <c r="L18" s="60" t="s">
        <v>11</v>
      </c>
      <c r="M18" s="143" t="s">
        <v>78</v>
      </c>
      <c r="N18" s="15" t="s">
        <v>16</v>
      </c>
      <c r="O18" s="143" t="s">
        <v>78</v>
      </c>
      <c r="P18" s="143" t="s">
        <v>78</v>
      </c>
      <c r="Q18" s="62" t="s">
        <v>11</v>
      </c>
      <c r="R18" s="22" t="s">
        <v>8</v>
      </c>
      <c r="S18" s="22" t="s">
        <v>8</v>
      </c>
      <c r="T18" s="11"/>
      <c r="U18" s="11"/>
      <c r="V18" s="62" t="s">
        <v>11</v>
      </c>
      <c r="W18" s="62" t="s">
        <v>11</v>
      </c>
      <c r="X18" s="11"/>
      <c r="Y18" s="11"/>
      <c r="Z18" s="11"/>
      <c r="AA18" s="11"/>
      <c r="AB18" s="11"/>
      <c r="AC18" s="62" t="s">
        <v>11</v>
      </c>
      <c r="AD18" s="62" t="s">
        <v>11</v>
      </c>
      <c r="AE18" s="11"/>
      <c r="AF18" s="11"/>
      <c r="AG18" s="62"/>
      <c r="AH18" s="11"/>
      <c r="AI18" s="11"/>
      <c r="AJ18" s="62" t="s">
        <v>11</v>
      </c>
      <c r="AK18" s="62" t="s">
        <v>11</v>
      </c>
      <c r="AL18" s="11"/>
      <c r="AM18" s="11"/>
      <c r="AN18" s="62" t="s">
        <v>56</v>
      </c>
      <c r="AO18" s="10"/>
      <c r="AP18" s="60"/>
      <c r="AQ18" s="11"/>
      <c r="AR18" s="62"/>
    </row>
    <row r="19" spans="1:44" hidden="1">
      <c r="A19" s="293"/>
      <c r="B19" s="293"/>
      <c r="C19" s="293"/>
      <c r="D19" s="293"/>
      <c r="E19" s="336"/>
      <c r="F19" s="293"/>
      <c r="G19" s="293"/>
      <c r="H19" s="293"/>
      <c r="I19" s="293"/>
      <c r="J19" s="143" t="s">
        <v>78</v>
      </c>
      <c r="K19" s="61" t="s">
        <v>11</v>
      </c>
      <c r="L19" s="60" t="s">
        <v>11</v>
      </c>
      <c r="M19" s="143" t="s">
        <v>78</v>
      </c>
      <c r="N19" s="20" t="s">
        <v>13</v>
      </c>
      <c r="O19" s="143" t="s">
        <v>78</v>
      </c>
      <c r="P19" s="143" t="s">
        <v>78</v>
      </c>
      <c r="Q19" s="62" t="s">
        <v>11</v>
      </c>
      <c r="R19" s="34" t="s">
        <v>79</v>
      </c>
      <c r="S19" s="34" t="s">
        <v>79</v>
      </c>
      <c r="T19" s="11"/>
      <c r="U19" s="11"/>
      <c r="V19" s="62" t="s">
        <v>11</v>
      </c>
      <c r="W19" s="62" t="s">
        <v>11</v>
      </c>
      <c r="X19" s="11"/>
      <c r="Y19" s="11"/>
      <c r="Z19" s="11"/>
      <c r="AA19" s="11"/>
      <c r="AB19" s="11"/>
      <c r="AC19" s="62" t="s">
        <v>11</v>
      </c>
      <c r="AD19" s="62" t="s">
        <v>11</v>
      </c>
      <c r="AE19" s="11"/>
      <c r="AF19" s="11"/>
      <c r="AG19" s="62"/>
      <c r="AH19" s="11"/>
      <c r="AI19" s="11"/>
      <c r="AJ19" s="62" t="s">
        <v>11</v>
      </c>
      <c r="AK19" s="62" t="s">
        <v>11</v>
      </c>
      <c r="AL19" s="11"/>
      <c r="AM19" s="11"/>
      <c r="AN19" s="62" t="s">
        <v>56</v>
      </c>
      <c r="AO19" s="10"/>
      <c r="AP19" s="60"/>
      <c r="AQ19" s="11"/>
      <c r="AR19" s="62"/>
    </row>
    <row r="20" spans="1:44" hidden="1">
      <c r="A20" s="292">
        <v>14</v>
      </c>
      <c r="B20" s="292"/>
      <c r="C20" s="292"/>
      <c r="D20" s="292"/>
      <c r="E20" s="335" t="s">
        <v>176</v>
      </c>
      <c r="F20" s="292"/>
      <c r="G20" s="292">
        <v>2026</v>
      </c>
      <c r="H20" s="292"/>
      <c r="I20" s="292"/>
      <c r="J20" s="143" t="s">
        <v>78</v>
      </c>
      <c r="K20" s="61" t="s">
        <v>11</v>
      </c>
      <c r="L20" s="60" t="s">
        <v>11</v>
      </c>
      <c r="M20" s="143" t="s">
        <v>78</v>
      </c>
      <c r="N20" s="15" t="s">
        <v>16</v>
      </c>
      <c r="O20" s="143" t="s">
        <v>78</v>
      </c>
      <c r="P20" s="143" t="s">
        <v>78</v>
      </c>
      <c r="Q20" s="62" t="s">
        <v>11</v>
      </c>
      <c r="R20" s="22" t="s">
        <v>8</v>
      </c>
      <c r="S20" s="22" t="s">
        <v>8</v>
      </c>
      <c r="T20" s="11"/>
      <c r="U20" s="11"/>
      <c r="V20" s="62" t="s">
        <v>11</v>
      </c>
      <c r="W20" s="62" t="s">
        <v>11</v>
      </c>
      <c r="X20" s="11"/>
      <c r="Y20" s="11"/>
      <c r="Z20" s="11"/>
      <c r="AA20" s="11"/>
      <c r="AB20" s="11"/>
      <c r="AC20" s="62" t="s">
        <v>11</v>
      </c>
      <c r="AD20" s="62" t="s">
        <v>11</v>
      </c>
      <c r="AE20" s="11"/>
      <c r="AF20" s="11"/>
      <c r="AG20" s="62"/>
      <c r="AH20" s="11"/>
      <c r="AI20" s="11"/>
      <c r="AJ20" s="62" t="s">
        <v>11</v>
      </c>
      <c r="AK20" s="62" t="s">
        <v>11</v>
      </c>
      <c r="AL20" s="11"/>
      <c r="AM20" s="11"/>
      <c r="AN20" s="62" t="s">
        <v>56</v>
      </c>
      <c r="AO20" s="10"/>
      <c r="AP20" s="60"/>
      <c r="AQ20" s="11"/>
      <c r="AR20" s="62"/>
    </row>
    <row r="21" spans="1:44" hidden="1">
      <c r="A21" s="293"/>
      <c r="B21" s="293"/>
      <c r="C21" s="293"/>
      <c r="D21" s="293"/>
      <c r="E21" s="336"/>
      <c r="F21" s="293"/>
      <c r="G21" s="293"/>
      <c r="H21" s="293"/>
      <c r="I21" s="293"/>
      <c r="J21" s="143" t="s">
        <v>78</v>
      </c>
      <c r="K21" s="61" t="s">
        <v>11</v>
      </c>
      <c r="L21" s="60" t="s">
        <v>11</v>
      </c>
      <c r="M21" s="143" t="s">
        <v>78</v>
      </c>
      <c r="N21" s="20" t="s">
        <v>13</v>
      </c>
      <c r="O21" s="143" t="s">
        <v>78</v>
      </c>
      <c r="P21" s="143" t="s">
        <v>78</v>
      </c>
      <c r="Q21" s="62" t="s">
        <v>11</v>
      </c>
      <c r="R21" s="34" t="s">
        <v>79</v>
      </c>
      <c r="S21" s="34" t="s">
        <v>79</v>
      </c>
      <c r="T21" s="11"/>
      <c r="U21" s="11"/>
      <c r="V21" s="62" t="s">
        <v>11</v>
      </c>
      <c r="W21" s="62" t="s">
        <v>11</v>
      </c>
      <c r="X21" s="11"/>
      <c r="Y21" s="11"/>
      <c r="Z21" s="11"/>
      <c r="AA21" s="11"/>
      <c r="AB21" s="11"/>
      <c r="AC21" s="62" t="s">
        <v>11</v>
      </c>
      <c r="AD21" s="62" t="s">
        <v>11</v>
      </c>
      <c r="AE21" s="11"/>
      <c r="AF21" s="11"/>
      <c r="AG21" s="62"/>
      <c r="AH21" s="11"/>
      <c r="AI21" s="11"/>
      <c r="AJ21" s="62" t="s">
        <v>11</v>
      </c>
      <c r="AK21" s="62" t="s">
        <v>11</v>
      </c>
      <c r="AL21" s="11"/>
      <c r="AM21" s="11"/>
      <c r="AN21" s="62" t="s">
        <v>56</v>
      </c>
      <c r="AO21" s="10"/>
      <c r="AP21" s="60"/>
      <c r="AQ21" s="11"/>
      <c r="AR21" s="62"/>
    </row>
    <row r="22" spans="1:44" hidden="1">
      <c r="A22" s="292">
        <v>15</v>
      </c>
      <c r="B22" s="292"/>
      <c r="C22" s="292"/>
      <c r="D22" s="292"/>
      <c r="E22" s="335" t="s">
        <v>176</v>
      </c>
      <c r="F22" s="292"/>
      <c r="G22" s="292">
        <v>2026</v>
      </c>
      <c r="H22" s="292"/>
      <c r="I22" s="292"/>
      <c r="J22" s="62" t="s">
        <v>11</v>
      </c>
      <c r="K22" s="154" t="s">
        <v>78</v>
      </c>
      <c r="L22" s="62" t="s">
        <v>11</v>
      </c>
      <c r="M22" s="141" t="s">
        <v>47</v>
      </c>
      <c r="N22" s="15" t="s">
        <v>16</v>
      </c>
      <c r="O22" s="143" t="s">
        <v>78</v>
      </c>
      <c r="P22" s="62" t="s">
        <v>11</v>
      </c>
      <c r="Q22" s="143" t="s">
        <v>78</v>
      </c>
      <c r="R22" s="143" t="s">
        <v>78</v>
      </c>
      <c r="S22" s="22" t="s">
        <v>8</v>
      </c>
      <c r="T22" s="22" t="s">
        <v>8</v>
      </c>
      <c r="U22" s="11"/>
      <c r="V22" s="62" t="s">
        <v>11</v>
      </c>
      <c r="W22" s="62" t="s">
        <v>11</v>
      </c>
      <c r="X22" s="11"/>
      <c r="Y22" s="11"/>
      <c r="Z22" s="11"/>
      <c r="AA22" s="11"/>
      <c r="AB22" s="11"/>
      <c r="AC22" s="62" t="s">
        <v>11</v>
      </c>
      <c r="AD22" s="62" t="s">
        <v>11</v>
      </c>
      <c r="AE22" s="11"/>
      <c r="AF22" s="11"/>
      <c r="AG22" s="62"/>
      <c r="AH22" s="11"/>
      <c r="AI22" s="11"/>
      <c r="AJ22" s="62" t="s">
        <v>11</v>
      </c>
      <c r="AK22" s="62" t="s">
        <v>11</v>
      </c>
      <c r="AL22" s="11"/>
      <c r="AM22" s="11"/>
      <c r="AN22" s="62" t="s">
        <v>56</v>
      </c>
      <c r="AO22" s="10"/>
      <c r="AP22" s="60"/>
      <c r="AQ22" s="11"/>
      <c r="AR22" s="62"/>
    </row>
    <row r="23" spans="1:44" hidden="1">
      <c r="A23" s="293"/>
      <c r="B23" s="293"/>
      <c r="C23" s="293"/>
      <c r="D23" s="293"/>
      <c r="E23" s="336"/>
      <c r="F23" s="293"/>
      <c r="G23" s="293"/>
      <c r="H23" s="293"/>
      <c r="I23" s="293"/>
      <c r="J23" s="62" t="s">
        <v>11</v>
      </c>
      <c r="K23" s="154" t="s">
        <v>78</v>
      </c>
      <c r="L23" s="62" t="s">
        <v>11</v>
      </c>
      <c r="M23" s="25" t="s">
        <v>15</v>
      </c>
      <c r="N23" s="20" t="s">
        <v>13</v>
      </c>
      <c r="O23" s="143" t="s">
        <v>78</v>
      </c>
      <c r="P23" s="62" t="s">
        <v>11</v>
      </c>
      <c r="Q23" s="143" t="s">
        <v>78</v>
      </c>
      <c r="R23" s="143" t="s">
        <v>78</v>
      </c>
      <c r="S23" s="34" t="s">
        <v>79</v>
      </c>
      <c r="T23" s="34" t="s">
        <v>79</v>
      </c>
      <c r="U23" s="11"/>
      <c r="V23" s="62" t="s">
        <v>11</v>
      </c>
      <c r="W23" s="62" t="s">
        <v>11</v>
      </c>
      <c r="X23" s="11"/>
      <c r="Y23" s="11"/>
      <c r="Z23" s="11"/>
      <c r="AA23" s="11"/>
      <c r="AB23" s="11"/>
      <c r="AC23" s="62" t="s">
        <v>11</v>
      </c>
      <c r="AD23" s="62" t="s">
        <v>11</v>
      </c>
      <c r="AE23" s="11"/>
      <c r="AF23" s="11"/>
      <c r="AG23" s="62"/>
      <c r="AH23" s="11"/>
      <c r="AI23" s="11"/>
      <c r="AJ23" s="62" t="s">
        <v>11</v>
      </c>
      <c r="AK23" s="62" t="s">
        <v>11</v>
      </c>
      <c r="AL23" s="11"/>
      <c r="AM23" s="11"/>
      <c r="AN23" s="62" t="s">
        <v>56</v>
      </c>
      <c r="AO23" s="10"/>
      <c r="AP23" s="60"/>
      <c r="AQ23" s="11"/>
      <c r="AR23" s="62"/>
    </row>
    <row r="24" spans="1:44" hidden="1">
      <c r="A24" s="292">
        <v>16</v>
      </c>
      <c r="B24" s="292"/>
      <c r="C24" s="292"/>
      <c r="D24" s="292"/>
      <c r="E24" s="335" t="s">
        <v>176</v>
      </c>
      <c r="F24" s="292"/>
      <c r="G24" s="292">
        <v>2026</v>
      </c>
      <c r="H24" s="292"/>
      <c r="I24" s="292"/>
      <c r="J24" s="62" t="s">
        <v>11</v>
      </c>
      <c r="K24" s="154" t="s">
        <v>78</v>
      </c>
      <c r="L24" s="62" t="s">
        <v>11</v>
      </c>
      <c r="M24" s="141" t="s">
        <v>47</v>
      </c>
      <c r="N24" s="15" t="s">
        <v>16</v>
      </c>
      <c r="O24" s="143" t="s">
        <v>78</v>
      </c>
      <c r="P24" s="62" t="s">
        <v>11</v>
      </c>
      <c r="Q24" s="143" t="s">
        <v>78</v>
      </c>
      <c r="R24" s="143" t="s">
        <v>78</v>
      </c>
      <c r="S24" s="22" t="s">
        <v>8</v>
      </c>
      <c r="T24" s="22" t="s">
        <v>8</v>
      </c>
      <c r="U24" s="11"/>
      <c r="V24" s="62" t="s">
        <v>11</v>
      </c>
      <c r="W24" s="62" t="s">
        <v>11</v>
      </c>
      <c r="X24" s="11"/>
      <c r="Y24" s="11"/>
      <c r="Z24" s="11"/>
      <c r="AA24" s="11"/>
      <c r="AB24" s="11"/>
      <c r="AC24" s="62" t="s">
        <v>11</v>
      </c>
      <c r="AD24" s="62" t="s">
        <v>11</v>
      </c>
      <c r="AE24" s="11"/>
      <c r="AF24" s="11"/>
      <c r="AG24" s="62"/>
      <c r="AH24" s="11"/>
      <c r="AI24" s="11"/>
      <c r="AJ24" s="62" t="s">
        <v>11</v>
      </c>
      <c r="AK24" s="62" t="s">
        <v>11</v>
      </c>
      <c r="AL24" s="11"/>
      <c r="AM24" s="11"/>
      <c r="AN24" s="62" t="s">
        <v>56</v>
      </c>
      <c r="AO24" s="10"/>
      <c r="AP24" s="60"/>
      <c r="AQ24" s="11"/>
      <c r="AR24" s="62"/>
    </row>
    <row r="25" spans="1:44" hidden="1">
      <c r="A25" s="293"/>
      <c r="B25" s="293"/>
      <c r="C25" s="293"/>
      <c r="D25" s="293"/>
      <c r="E25" s="336"/>
      <c r="F25" s="293"/>
      <c r="G25" s="293"/>
      <c r="H25" s="293"/>
      <c r="I25" s="293"/>
      <c r="J25" s="62" t="s">
        <v>11</v>
      </c>
      <c r="K25" s="154" t="s">
        <v>78</v>
      </c>
      <c r="L25" s="62" t="s">
        <v>11</v>
      </c>
      <c r="M25" s="25" t="s">
        <v>15</v>
      </c>
      <c r="N25" s="20" t="s">
        <v>13</v>
      </c>
      <c r="O25" s="143" t="s">
        <v>78</v>
      </c>
      <c r="P25" s="62" t="s">
        <v>11</v>
      </c>
      <c r="Q25" s="143" t="s">
        <v>78</v>
      </c>
      <c r="R25" s="143" t="s">
        <v>78</v>
      </c>
      <c r="S25" s="34" t="s">
        <v>79</v>
      </c>
      <c r="T25" s="34" t="s">
        <v>79</v>
      </c>
      <c r="U25" s="11"/>
      <c r="V25" s="62" t="s">
        <v>11</v>
      </c>
      <c r="W25" s="62" t="s">
        <v>11</v>
      </c>
      <c r="X25" s="11"/>
      <c r="Y25" s="11"/>
      <c r="Z25" s="11"/>
      <c r="AA25" s="11"/>
      <c r="AB25" s="11"/>
      <c r="AC25" s="62" t="s">
        <v>11</v>
      </c>
      <c r="AD25" s="62" t="s">
        <v>11</v>
      </c>
      <c r="AE25" s="11"/>
      <c r="AF25" s="11"/>
      <c r="AG25" s="62"/>
      <c r="AH25" s="11"/>
      <c r="AI25" s="11"/>
      <c r="AJ25" s="62" t="s">
        <v>11</v>
      </c>
      <c r="AK25" s="62" t="s">
        <v>11</v>
      </c>
      <c r="AL25" s="11"/>
      <c r="AM25" s="11"/>
      <c r="AN25" s="62" t="s">
        <v>56</v>
      </c>
      <c r="AO25" s="10"/>
      <c r="AP25" s="60"/>
      <c r="AQ25" s="11"/>
      <c r="AR25" s="62"/>
    </row>
    <row r="26" spans="1:44" hidden="1">
      <c r="A26" s="292">
        <v>17</v>
      </c>
      <c r="B26" s="292"/>
      <c r="C26" s="292"/>
      <c r="D26" s="292"/>
      <c r="E26" s="335" t="s">
        <v>176</v>
      </c>
      <c r="F26" s="292"/>
      <c r="G26" s="292">
        <v>2026</v>
      </c>
      <c r="H26" s="292"/>
      <c r="I26" s="292"/>
      <c r="J26" s="62" t="s">
        <v>11</v>
      </c>
      <c r="K26" s="154" t="s">
        <v>78</v>
      </c>
      <c r="L26" s="62" t="s">
        <v>11</v>
      </c>
      <c r="M26" s="141" t="s">
        <v>47</v>
      </c>
      <c r="N26" s="15" t="s">
        <v>16</v>
      </c>
      <c r="O26" s="143" t="s">
        <v>78</v>
      </c>
      <c r="P26" s="62" t="s">
        <v>11</v>
      </c>
      <c r="Q26" s="143" t="s">
        <v>78</v>
      </c>
      <c r="R26" s="143" t="s">
        <v>78</v>
      </c>
      <c r="S26" s="143" t="s">
        <v>78</v>
      </c>
      <c r="T26" s="22" t="s">
        <v>8</v>
      </c>
      <c r="U26" s="22" t="s">
        <v>8</v>
      </c>
      <c r="V26" s="62" t="s">
        <v>11</v>
      </c>
      <c r="W26" s="62" t="s">
        <v>11</v>
      </c>
      <c r="X26" s="11"/>
      <c r="Y26" s="11"/>
      <c r="Z26" s="11"/>
      <c r="AA26" s="11"/>
      <c r="AB26" s="11"/>
      <c r="AC26" s="62" t="s">
        <v>11</v>
      </c>
      <c r="AD26" s="62" t="s">
        <v>11</v>
      </c>
      <c r="AE26" s="11"/>
      <c r="AF26" s="11"/>
      <c r="AG26" s="62"/>
      <c r="AH26" s="11"/>
      <c r="AI26" s="11"/>
      <c r="AJ26" s="62" t="s">
        <v>11</v>
      </c>
      <c r="AK26" s="62" t="s">
        <v>11</v>
      </c>
      <c r="AL26" s="11"/>
      <c r="AM26" s="11"/>
      <c r="AN26" s="62" t="s">
        <v>56</v>
      </c>
      <c r="AO26" s="10"/>
      <c r="AP26" s="60"/>
      <c r="AQ26" s="11"/>
      <c r="AR26" s="62"/>
    </row>
    <row r="27" spans="1:44" hidden="1">
      <c r="A27" s="293"/>
      <c r="B27" s="293"/>
      <c r="C27" s="293"/>
      <c r="D27" s="293"/>
      <c r="E27" s="336"/>
      <c r="F27" s="293"/>
      <c r="G27" s="293"/>
      <c r="H27" s="293"/>
      <c r="I27" s="293"/>
      <c r="J27" s="62" t="s">
        <v>11</v>
      </c>
      <c r="K27" s="154" t="s">
        <v>78</v>
      </c>
      <c r="L27" s="62" t="s">
        <v>11</v>
      </c>
      <c r="M27" s="25" t="s">
        <v>15</v>
      </c>
      <c r="N27" s="20" t="s">
        <v>13</v>
      </c>
      <c r="O27" s="143" t="s">
        <v>78</v>
      </c>
      <c r="P27" s="62" t="s">
        <v>11</v>
      </c>
      <c r="Q27" s="143" t="s">
        <v>78</v>
      </c>
      <c r="R27" s="143" t="s">
        <v>78</v>
      </c>
      <c r="S27" s="143" t="s">
        <v>78</v>
      </c>
      <c r="T27" s="34" t="s">
        <v>79</v>
      </c>
      <c r="U27" s="34" t="s">
        <v>79</v>
      </c>
      <c r="V27" s="62" t="s">
        <v>11</v>
      </c>
      <c r="W27" s="62" t="s">
        <v>11</v>
      </c>
      <c r="X27" s="11"/>
      <c r="Y27" s="11"/>
      <c r="Z27" s="11"/>
      <c r="AA27" s="11"/>
      <c r="AB27" s="11"/>
      <c r="AC27" s="62" t="s">
        <v>11</v>
      </c>
      <c r="AD27" s="62" t="s">
        <v>11</v>
      </c>
      <c r="AE27" s="11"/>
      <c r="AF27" s="11"/>
      <c r="AG27" s="62"/>
      <c r="AH27" s="11"/>
      <c r="AI27" s="11"/>
      <c r="AJ27" s="62" t="s">
        <v>11</v>
      </c>
      <c r="AK27" s="62" t="s">
        <v>11</v>
      </c>
      <c r="AL27" s="11"/>
      <c r="AM27" s="11"/>
      <c r="AN27" s="62" t="s">
        <v>56</v>
      </c>
      <c r="AO27" s="10"/>
      <c r="AP27" s="60"/>
      <c r="AQ27" s="11"/>
      <c r="AR27" s="62"/>
    </row>
    <row r="28" spans="1:44" hidden="1">
      <c r="A28" s="292">
        <v>18</v>
      </c>
      <c r="B28" s="292"/>
      <c r="C28" s="292"/>
      <c r="D28" s="292"/>
      <c r="E28" s="335" t="s">
        <v>176</v>
      </c>
      <c r="F28" s="292"/>
      <c r="G28" s="292">
        <v>2026</v>
      </c>
      <c r="H28" s="292"/>
      <c r="I28" s="292"/>
      <c r="J28" s="62" t="s">
        <v>11</v>
      </c>
      <c r="K28" s="154" t="s">
        <v>78</v>
      </c>
      <c r="L28" s="62" t="s">
        <v>11</v>
      </c>
      <c r="M28" s="141" t="s">
        <v>47</v>
      </c>
      <c r="N28" s="15" t="s">
        <v>16</v>
      </c>
      <c r="O28" s="143" t="s">
        <v>78</v>
      </c>
      <c r="P28" s="62" t="s">
        <v>11</v>
      </c>
      <c r="Q28" s="143" t="s">
        <v>78</v>
      </c>
      <c r="R28" s="143" t="s">
        <v>78</v>
      </c>
      <c r="S28" s="143" t="s">
        <v>78</v>
      </c>
      <c r="T28" s="22" t="s">
        <v>8</v>
      </c>
      <c r="U28" s="22" t="s">
        <v>8</v>
      </c>
      <c r="V28" s="62" t="s">
        <v>11</v>
      </c>
      <c r="W28" s="62" t="s">
        <v>11</v>
      </c>
      <c r="X28" s="11"/>
      <c r="Y28" s="11"/>
      <c r="Z28" s="11"/>
      <c r="AA28" s="11"/>
      <c r="AB28" s="11"/>
      <c r="AC28" s="62" t="s">
        <v>11</v>
      </c>
      <c r="AD28" s="62" t="s">
        <v>11</v>
      </c>
      <c r="AE28" s="11"/>
      <c r="AF28" s="11"/>
      <c r="AG28" s="62"/>
      <c r="AH28" s="11"/>
      <c r="AI28" s="11"/>
      <c r="AJ28" s="62" t="s">
        <v>11</v>
      </c>
      <c r="AK28" s="62" t="s">
        <v>11</v>
      </c>
      <c r="AL28" s="11"/>
      <c r="AM28" s="11"/>
      <c r="AN28" s="62" t="s">
        <v>56</v>
      </c>
      <c r="AO28" s="10"/>
      <c r="AP28" s="60"/>
      <c r="AQ28" s="11"/>
      <c r="AR28" s="62"/>
    </row>
    <row r="29" spans="1:44" hidden="1">
      <c r="A29" s="293"/>
      <c r="B29" s="293"/>
      <c r="C29" s="293"/>
      <c r="D29" s="293"/>
      <c r="E29" s="336"/>
      <c r="F29" s="293"/>
      <c r="G29" s="293"/>
      <c r="H29" s="293"/>
      <c r="I29" s="293"/>
      <c r="J29" s="62" t="s">
        <v>11</v>
      </c>
      <c r="K29" s="154" t="s">
        <v>78</v>
      </c>
      <c r="L29" s="62" t="s">
        <v>11</v>
      </c>
      <c r="M29" s="25" t="s">
        <v>15</v>
      </c>
      <c r="N29" s="20" t="s">
        <v>13</v>
      </c>
      <c r="O29" s="143" t="s">
        <v>78</v>
      </c>
      <c r="P29" s="62" t="s">
        <v>11</v>
      </c>
      <c r="Q29" s="143" t="s">
        <v>78</v>
      </c>
      <c r="R29" s="143" t="s">
        <v>78</v>
      </c>
      <c r="S29" s="143" t="s">
        <v>78</v>
      </c>
      <c r="T29" s="34" t="s">
        <v>79</v>
      </c>
      <c r="U29" s="34" t="s">
        <v>79</v>
      </c>
      <c r="V29" s="62" t="s">
        <v>11</v>
      </c>
      <c r="W29" s="62" t="s">
        <v>11</v>
      </c>
      <c r="X29" s="11"/>
      <c r="Y29" s="11"/>
      <c r="Z29" s="11"/>
      <c r="AA29" s="11"/>
      <c r="AB29" s="11"/>
      <c r="AC29" s="62" t="s">
        <v>11</v>
      </c>
      <c r="AD29" s="62" t="s">
        <v>11</v>
      </c>
      <c r="AE29" s="11"/>
      <c r="AF29" s="11"/>
      <c r="AG29" s="62"/>
      <c r="AH29" s="11"/>
      <c r="AI29" s="11"/>
      <c r="AJ29" s="62" t="s">
        <v>11</v>
      </c>
      <c r="AK29" s="62" t="s">
        <v>11</v>
      </c>
      <c r="AL29" s="11"/>
      <c r="AM29" s="11"/>
      <c r="AN29" s="62" t="s">
        <v>56</v>
      </c>
      <c r="AO29" s="10"/>
      <c r="AP29" s="60"/>
      <c r="AQ29" s="11"/>
      <c r="AR29" s="62"/>
    </row>
    <row r="30" spans="1:44" hidden="1">
      <c r="A30" s="292">
        <v>19</v>
      </c>
      <c r="B30" s="292"/>
      <c r="C30" s="292"/>
      <c r="D30" s="292"/>
      <c r="E30" s="335" t="s">
        <v>176</v>
      </c>
      <c r="F30" s="292"/>
      <c r="G30" s="292">
        <v>2026</v>
      </c>
      <c r="H30" s="292"/>
      <c r="I30" s="292"/>
      <c r="J30" s="62" t="s">
        <v>11</v>
      </c>
      <c r="K30" s="62" t="s">
        <v>11</v>
      </c>
      <c r="L30" s="60"/>
      <c r="M30" s="11"/>
      <c r="N30" s="115" t="s">
        <v>79</v>
      </c>
      <c r="O30" s="62" t="s">
        <v>11</v>
      </c>
      <c r="P30" s="62" t="s">
        <v>11</v>
      </c>
      <c r="Q30" s="143" t="s">
        <v>78</v>
      </c>
      <c r="R30" s="143" t="s">
        <v>78</v>
      </c>
      <c r="S30" s="141" t="s">
        <v>47</v>
      </c>
      <c r="T30" s="62" t="s">
        <v>11</v>
      </c>
      <c r="U30" s="20" t="s">
        <v>13</v>
      </c>
      <c r="V30" s="143" t="s">
        <v>78</v>
      </c>
      <c r="W30" s="62" t="s">
        <v>11</v>
      </c>
      <c r="X30" s="143" t="s">
        <v>78</v>
      </c>
      <c r="Y30" s="143" t="s">
        <v>78</v>
      </c>
      <c r="Z30" s="22" t="s">
        <v>8</v>
      </c>
      <c r="AA30" s="22" t="s">
        <v>8</v>
      </c>
      <c r="AB30" s="11"/>
      <c r="AC30" s="62" t="s">
        <v>11</v>
      </c>
      <c r="AD30" s="62" t="s">
        <v>11</v>
      </c>
      <c r="AE30" s="11"/>
      <c r="AF30" s="11"/>
      <c r="AG30" s="62"/>
      <c r="AH30" s="11"/>
      <c r="AI30" s="11"/>
      <c r="AJ30" s="62" t="s">
        <v>11</v>
      </c>
      <c r="AK30" s="62" t="s">
        <v>11</v>
      </c>
      <c r="AL30" s="11"/>
      <c r="AM30" s="11"/>
      <c r="AN30" s="62" t="s">
        <v>56</v>
      </c>
      <c r="AO30" s="10"/>
      <c r="AP30" s="60"/>
      <c r="AQ30" s="11"/>
      <c r="AR30" s="62"/>
    </row>
    <row r="31" spans="1:44" hidden="1">
      <c r="A31" s="293"/>
      <c r="B31" s="293"/>
      <c r="C31" s="293"/>
      <c r="D31" s="293"/>
      <c r="E31" s="336"/>
      <c r="F31" s="293"/>
      <c r="G31" s="293"/>
      <c r="H31" s="293"/>
      <c r="I31" s="293"/>
      <c r="J31" s="62" t="s">
        <v>11</v>
      </c>
      <c r="K31" s="62" t="s">
        <v>11</v>
      </c>
      <c r="L31" s="60"/>
      <c r="M31" s="11"/>
      <c r="N31" s="39" t="s">
        <v>37</v>
      </c>
      <c r="O31" s="62" t="s">
        <v>11</v>
      </c>
      <c r="P31" s="62" t="s">
        <v>11</v>
      </c>
      <c r="Q31" s="143" t="s">
        <v>78</v>
      </c>
      <c r="R31" s="143" t="s">
        <v>78</v>
      </c>
      <c r="S31" s="25" t="s">
        <v>15</v>
      </c>
      <c r="T31" s="62" t="s">
        <v>11</v>
      </c>
      <c r="U31" s="15" t="s">
        <v>16</v>
      </c>
      <c r="V31" s="143" t="s">
        <v>78</v>
      </c>
      <c r="W31" s="62" t="s">
        <v>11</v>
      </c>
      <c r="X31" s="143" t="s">
        <v>78</v>
      </c>
      <c r="Y31" s="143" t="s">
        <v>78</v>
      </c>
      <c r="Z31" s="34" t="s">
        <v>79</v>
      </c>
      <c r="AA31" s="34" t="s">
        <v>79</v>
      </c>
      <c r="AB31" s="11"/>
      <c r="AC31" s="62" t="s">
        <v>11</v>
      </c>
      <c r="AD31" s="62" t="s">
        <v>11</v>
      </c>
      <c r="AE31" s="11"/>
      <c r="AF31" s="11"/>
      <c r="AG31" s="62"/>
      <c r="AH31" s="11"/>
      <c r="AI31" s="11"/>
      <c r="AJ31" s="62" t="s">
        <v>11</v>
      </c>
      <c r="AK31" s="62" t="s">
        <v>11</v>
      </c>
      <c r="AL31" s="11"/>
      <c r="AM31" s="11"/>
      <c r="AN31" s="62" t="s">
        <v>56</v>
      </c>
      <c r="AO31" s="10"/>
      <c r="AP31" s="60"/>
      <c r="AQ31" s="11"/>
      <c r="AR31" s="62"/>
    </row>
    <row r="32" spans="1:44" hidden="1">
      <c r="A32" s="292">
        <v>20</v>
      </c>
      <c r="B32" s="292"/>
      <c r="C32" s="292"/>
      <c r="D32" s="292"/>
      <c r="E32" s="335" t="s">
        <v>176</v>
      </c>
      <c r="F32" s="292"/>
      <c r="G32" s="292">
        <v>2026</v>
      </c>
      <c r="H32" s="292"/>
      <c r="I32" s="292"/>
      <c r="J32" s="62" t="s">
        <v>11</v>
      </c>
      <c r="K32" s="62" t="s">
        <v>11</v>
      </c>
      <c r="L32" s="60"/>
      <c r="M32" s="11"/>
      <c r="N32" s="115" t="s">
        <v>79</v>
      </c>
      <c r="O32" s="62" t="s">
        <v>11</v>
      </c>
      <c r="P32" s="62" t="s">
        <v>11</v>
      </c>
      <c r="Q32" s="143" t="s">
        <v>78</v>
      </c>
      <c r="R32" s="143" t="s">
        <v>78</v>
      </c>
      <c r="S32" s="141" t="s">
        <v>47</v>
      </c>
      <c r="T32" s="62" t="s">
        <v>11</v>
      </c>
      <c r="U32" s="20" t="s">
        <v>13</v>
      </c>
      <c r="V32" s="143" t="s">
        <v>78</v>
      </c>
      <c r="W32" s="62" t="s">
        <v>11</v>
      </c>
      <c r="X32" s="143" t="s">
        <v>78</v>
      </c>
      <c r="Y32" s="143" t="s">
        <v>78</v>
      </c>
      <c r="Z32" s="22" t="s">
        <v>8</v>
      </c>
      <c r="AA32" s="22" t="s">
        <v>8</v>
      </c>
      <c r="AB32" s="11"/>
      <c r="AC32" s="62" t="s">
        <v>11</v>
      </c>
      <c r="AD32" s="62" t="s">
        <v>11</v>
      </c>
      <c r="AE32" s="11"/>
      <c r="AF32" s="11"/>
      <c r="AG32" s="62"/>
      <c r="AH32" s="11"/>
      <c r="AI32" s="11"/>
      <c r="AJ32" s="62" t="s">
        <v>11</v>
      </c>
      <c r="AK32" s="62" t="s">
        <v>11</v>
      </c>
      <c r="AL32" s="11"/>
      <c r="AM32" s="11"/>
      <c r="AN32" s="62" t="s">
        <v>56</v>
      </c>
      <c r="AO32" s="10"/>
      <c r="AP32" s="60"/>
      <c r="AQ32" s="11"/>
      <c r="AR32" s="62"/>
    </row>
    <row r="33" spans="1:44" hidden="1">
      <c r="A33" s="293"/>
      <c r="B33" s="293"/>
      <c r="C33" s="293"/>
      <c r="D33" s="293"/>
      <c r="E33" s="336"/>
      <c r="F33" s="293"/>
      <c r="G33" s="293"/>
      <c r="H33" s="293"/>
      <c r="I33" s="293"/>
      <c r="J33" s="62" t="s">
        <v>11</v>
      </c>
      <c r="K33" s="62" t="s">
        <v>11</v>
      </c>
      <c r="L33" s="60"/>
      <c r="M33" s="11"/>
      <c r="N33" s="39" t="s">
        <v>37</v>
      </c>
      <c r="O33" s="62" t="s">
        <v>11</v>
      </c>
      <c r="P33" s="62" t="s">
        <v>11</v>
      </c>
      <c r="Q33" s="143" t="s">
        <v>78</v>
      </c>
      <c r="R33" s="143" t="s">
        <v>78</v>
      </c>
      <c r="S33" s="25" t="s">
        <v>15</v>
      </c>
      <c r="T33" s="62" t="s">
        <v>11</v>
      </c>
      <c r="U33" s="15" t="s">
        <v>16</v>
      </c>
      <c r="V33" s="143" t="s">
        <v>78</v>
      </c>
      <c r="W33" s="62" t="s">
        <v>11</v>
      </c>
      <c r="X33" s="143" t="s">
        <v>78</v>
      </c>
      <c r="Y33" s="143" t="s">
        <v>78</v>
      </c>
      <c r="Z33" s="34" t="s">
        <v>79</v>
      </c>
      <c r="AA33" s="34" t="s">
        <v>79</v>
      </c>
      <c r="AB33" s="11"/>
      <c r="AC33" s="62" t="s">
        <v>11</v>
      </c>
      <c r="AD33" s="62" t="s">
        <v>11</v>
      </c>
      <c r="AE33" s="11"/>
      <c r="AF33" s="11"/>
      <c r="AG33" s="62"/>
      <c r="AH33" s="11"/>
      <c r="AI33" s="11"/>
      <c r="AJ33" s="62" t="s">
        <v>11</v>
      </c>
      <c r="AK33" s="62" t="s">
        <v>11</v>
      </c>
      <c r="AL33" s="11"/>
      <c r="AM33" s="11"/>
      <c r="AN33" s="62" t="s">
        <v>56</v>
      </c>
      <c r="AO33" s="10"/>
      <c r="AP33" s="60"/>
      <c r="AQ33" s="11"/>
      <c r="AR33" s="62"/>
    </row>
    <row r="34" spans="1:44" hidden="1">
      <c r="A34" s="292">
        <v>21</v>
      </c>
      <c r="B34" s="292"/>
      <c r="C34" s="292"/>
      <c r="D34" s="292"/>
      <c r="E34" s="335" t="s">
        <v>176</v>
      </c>
      <c r="F34" s="292"/>
      <c r="G34" s="292">
        <v>2026</v>
      </c>
      <c r="H34" s="292"/>
      <c r="I34" s="292"/>
      <c r="J34" s="62" t="s">
        <v>11</v>
      </c>
      <c r="K34" s="62" t="s">
        <v>11</v>
      </c>
      <c r="L34" s="60"/>
      <c r="M34" s="352" t="s">
        <v>186</v>
      </c>
      <c r="N34" s="353"/>
      <c r="O34" s="62"/>
      <c r="P34" s="115" t="s">
        <v>79</v>
      </c>
      <c r="Q34" s="62" t="s">
        <v>11</v>
      </c>
      <c r="R34" s="143" t="s">
        <v>78</v>
      </c>
      <c r="S34" s="141" t="s">
        <v>47</v>
      </c>
      <c r="T34" s="62" t="s">
        <v>11</v>
      </c>
      <c r="U34" s="20" t="s">
        <v>13</v>
      </c>
      <c r="V34" s="62" t="s">
        <v>11</v>
      </c>
      <c r="W34" s="62" t="s">
        <v>11</v>
      </c>
      <c r="X34" s="143" t="s">
        <v>78</v>
      </c>
      <c r="Y34" s="143" t="s">
        <v>78</v>
      </c>
      <c r="Z34" s="143" t="s">
        <v>78</v>
      </c>
      <c r="AA34" s="143" t="s">
        <v>78</v>
      </c>
      <c r="AB34" s="22" t="s">
        <v>8</v>
      </c>
      <c r="AC34" s="22" t="s">
        <v>8</v>
      </c>
      <c r="AD34" s="62" t="s">
        <v>11</v>
      </c>
      <c r="AE34" s="62" t="s">
        <v>11</v>
      </c>
      <c r="AF34" s="11"/>
      <c r="AG34" s="62"/>
      <c r="AH34" s="11"/>
      <c r="AI34" s="11"/>
      <c r="AJ34" s="62" t="s">
        <v>11</v>
      </c>
      <c r="AK34" s="62" t="s">
        <v>11</v>
      </c>
      <c r="AL34" s="11"/>
      <c r="AM34" s="11"/>
      <c r="AN34" s="62" t="s">
        <v>56</v>
      </c>
      <c r="AO34" s="10"/>
      <c r="AP34" s="60"/>
      <c r="AQ34" s="11"/>
      <c r="AR34" s="62"/>
    </row>
    <row r="35" spans="1:44" hidden="1">
      <c r="A35" s="293"/>
      <c r="B35" s="293"/>
      <c r="C35" s="293"/>
      <c r="D35" s="293"/>
      <c r="E35" s="336"/>
      <c r="F35" s="293"/>
      <c r="G35" s="293"/>
      <c r="H35" s="293"/>
      <c r="I35" s="293"/>
      <c r="J35" s="62" t="s">
        <v>11</v>
      </c>
      <c r="K35" s="62" t="s">
        <v>11</v>
      </c>
      <c r="L35" s="60"/>
      <c r="M35" s="354"/>
      <c r="N35" s="355"/>
      <c r="O35" s="62"/>
      <c r="P35" s="39" t="s">
        <v>37</v>
      </c>
      <c r="Q35" s="62" t="s">
        <v>11</v>
      </c>
      <c r="R35" s="143" t="s">
        <v>78</v>
      </c>
      <c r="S35" s="25" t="s">
        <v>15</v>
      </c>
      <c r="T35" s="62" t="s">
        <v>11</v>
      </c>
      <c r="U35" s="15" t="s">
        <v>16</v>
      </c>
      <c r="V35" s="62" t="s">
        <v>11</v>
      </c>
      <c r="W35" s="62" t="s">
        <v>11</v>
      </c>
      <c r="X35" s="143" t="s">
        <v>78</v>
      </c>
      <c r="Y35" s="143" t="s">
        <v>78</v>
      </c>
      <c r="Z35" s="143" t="s">
        <v>78</v>
      </c>
      <c r="AA35" s="143" t="s">
        <v>78</v>
      </c>
      <c r="AB35" s="34" t="s">
        <v>79</v>
      </c>
      <c r="AC35" s="34" t="s">
        <v>79</v>
      </c>
      <c r="AD35" s="62" t="s">
        <v>11</v>
      </c>
      <c r="AE35" s="62" t="s">
        <v>11</v>
      </c>
      <c r="AF35" s="11"/>
      <c r="AG35" s="62"/>
      <c r="AH35" s="11"/>
      <c r="AI35" s="11"/>
      <c r="AJ35" s="62" t="s">
        <v>11</v>
      </c>
      <c r="AK35" s="62" t="s">
        <v>11</v>
      </c>
      <c r="AL35" s="11"/>
      <c r="AM35" s="11"/>
      <c r="AN35" s="62" t="s">
        <v>56</v>
      </c>
      <c r="AO35" s="10"/>
      <c r="AP35" s="60"/>
      <c r="AQ35" s="11"/>
      <c r="AR35" s="62"/>
    </row>
    <row r="36" spans="1:44" ht="15" customHeight="1" thickBot="1">
      <c r="A36" s="371">
        <v>22</v>
      </c>
      <c r="B36" s="371"/>
      <c r="C36" s="371"/>
      <c r="D36" s="371"/>
      <c r="E36" s="373" t="s">
        <v>176</v>
      </c>
      <c r="F36" s="371"/>
      <c r="G36" s="371">
        <v>2026</v>
      </c>
      <c r="H36" s="371"/>
      <c r="I36" s="371"/>
      <c r="J36" s="62"/>
      <c r="K36" s="62"/>
      <c r="L36" s="60"/>
      <c r="M36" s="11"/>
      <c r="N36" s="11"/>
      <c r="O36" s="39"/>
      <c r="P36" s="11"/>
      <c r="Q36" s="62"/>
      <c r="R36" s="62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/>
      <c r="AP36" s="60"/>
      <c r="AQ36" s="11"/>
      <c r="AR36" s="62"/>
    </row>
    <row r="37" spans="1:44" ht="15.6" customHeight="1" thickTop="1" thickBot="1">
      <c r="A37" s="372"/>
      <c r="B37" s="372"/>
      <c r="C37" s="372"/>
      <c r="D37" s="372"/>
      <c r="E37" s="374"/>
      <c r="F37" s="372"/>
      <c r="G37" s="372"/>
      <c r="H37" s="372"/>
      <c r="I37" s="372"/>
      <c r="J37" s="65"/>
      <c r="K37" s="65"/>
      <c r="L37" s="77"/>
      <c r="M37" s="7"/>
      <c r="N37" s="7"/>
      <c r="O37" s="44"/>
      <c r="P37" s="7"/>
      <c r="Q37" s="65"/>
      <c r="R37" s="65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173"/>
      <c r="AP37" s="77"/>
      <c r="AQ37" s="80"/>
      <c r="AR37" s="97"/>
    </row>
    <row r="38" spans="1:44" ht="16.2" thickTop="1" thickBot="1">
      <c r="A38" s="372">
        <v>31</v>
      </c>
      <c r="B38" s="393"/>
      <c r="C38" s="393"/>
      <c r="D38" s="393"/>
      <c r="E38" s="393"/>
      <c r="F38" s="393"/>
      <c r="G38" s="393">
        <v>2026</v>
      </c>
      <c r="H38" s="393"/>
      <c r="I38" s="393"/>
      <c r="J38" s="78"/>
      <c r="K38" s="174"/>
      <c r="L38" s="91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174"/>
      <c r="AP38" s="91"/>
      <c r="AQ38" s="78"/>
      <c r="AR38" s="92"/>
    </row>
    <row r="39" spans="1:44" ht="15.6" thickTop="1">
      <c r="A39" s="390"/>
      <c r="B39" s="293"/>
      <c r="C39" s="293"/>
      <c r="D39" s="293"/>
      <c r="E39" s="293"/>
      <c r="F39" s="293"/>
      <c r="G39" s="293"/>
      <c r="H39" s="293"/>
      <c r="I39" s="293"/>
      <c r="J39" s="11"/>
      <c r="K39" s="10"/>
      <c r="L39" s="6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/>
      <c r="AP39" s="60"/>
      <c r="AQ39" s="11"/>
      <c r="AR39" s="62"/>
    </row>
    <row r="40" spans="1:44">
      <c r="A40" s="292">
        <v>32</v>
      </c>
      <c r="B40" s="292"/>
      <c r="C40" s="292"/>
      <c r="D40" s="292"/>
      <c r="E40" s="292"/>
      <c r="F40" s="292"/>
      <c r="G40" s="292">
        <v>2026</v>
      </c>
      <c r="H40" s="292"/>
      <c r="I40" s="292"/>
      <c r="J40" s="11"/>
      <c r="K40" s="10"/>
      <c r="L40" s="60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/>
      <c r="AP40" s="60"/>
      <c r="AQ40" s="11"/>
      <c r="AR40" s="62"/>
    </row>
    <row r="41" spans="1:44">
      <c r="A41" s="293"/>
      <c r="B41" s="293"/>
      <c r="C41" s="293"/>
      <c r="D41" s="293"/>
      <c r="E41" s="293"/>
      <c r="F41" s="293"/>
      <c r="G41" s="293"/>
      <c r="H41" s="293"/>
      <c r="I41" s="293"/>
      <c r="J41" s="11"/>
      <c r="K41" s="10"/>
      <c r="L41" s="6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/>
      <c r="AP41" s="60"/>
      <c r="AQ41" s="11"/>
      <c r="AR41" s="62"/>
    </row>
    <row r="42" spans="1:44">
      <c r="A42" s="292">
        <v>36</v>
      </c>
      <c r="B42" s="292"/>
      <c r="C42" s="292"/>
      <c r="D42" s="292"/>
      <c r="E42" s="292"/>
      <c r="F42" s="292"/>
      <c r="G42" s="292">
        <v>2026</v>
      </c>
      <c r="H42" s="292"/>
      <c r="I42" s="292"/>
      <c r="J42" s="11"/>
      <c r="K42" s="10"/>
      <c r="L42" s="6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/>
      <c r="AP42" s="60"/>
      <c r="AQ42" s="11"/>
      <c r="AR42" s="62"/>
    </row>
    <row r="43" spans="1:44">
      <c r="A43" s="293"/>
      <c r="B43" s="293"/>
      <c r="C43" s="293"/>
      <c r="D43" s="293"/>
      <c r="E43" s="293"/>
      <c r="F43" s="293"/>
      <c r="G43" s="293"/>
      <c r="H43" s="293"/>
      <c r="I43" s="293"/>
      <c r="J43" s="11"/>
      <c r="K43" s="10"/>
      <c r="L43" s="6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/>
      <c r="AP43" s="60"/>
      <c r="AQ43" s="11"/>
      <c r="AR43" s="62"/>
    </row>
    <row r="44" spans="1:44">
      <c r="A44" s="292">
        <v>37</v>
      </c>
      <c r="B44" s="292"/>
      <c r="C44" s="292"/>
      <c r="D44" s="292"/>
      <c r="E44" s="292"/>
      <c r="F44" s="292"/>
      <c r="G44" s="292">
        <v>2026</v>
      </c>
      <c r="H44" s="292"/>
      <c r="I44" s="292"/>
      <c r="J44" s="11"/>
      <c r="K44" s="10"/>
      <c r="L44" s="60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/>
      <c r="AP44" s="60"/>
      <c r="AQ44" s="11"/>
      <c r="AR44" s="62"/>
    </row>
    <row r="45" spans="1:44">
      <c r="A45" s="293"/>
      <c r="B45" s="293"/>
      <c r="C45" s="293"/>
      <c r="D45" s="293"/>
      <c r="E45" s="293"/>
      <c r="F45" s="293"/>
      <c r="G45" s="293"/>
      <c r="H45" s="293"/>
      <c r="I45" s="293"/>
      <c r="J45" s="11"/>
      <c r="K45" s="10"/>
      <c r="L45" s="6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/>
      <c r="AP45" s="60"/>
      <c r="AQ45" s="11"/>
      <c r="AR45" s="62"/>
    </row>
    <row r="46" spans="1:44">
      <c r="A46" s="292">
        <v>38</v>
      </c>
      <c r="B46" s="292"/>
      <c r="C46" s="292"/>
      <c r="D46" s="292"/>
      <c r="E46" s="292"/>
      <c r="F46" s="292"/>
      <c r="G46" s="292">
        <v>2026</v>
      </c>
      <c r="H46" s="292"/>
      <c r="I46" s="292"/>
      <c r="J46" s="11"/>
      <c r="K46" s="10"/>
      <c r="L46" s="6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/>
      <c r="AP46" s="60"/>
      <c r="AQ46" s="11"/>
      <c r="AR46" s="62"/>
    </row>
    <row r="47" spans="1:44">
      <c r="A47" s="293"/>
      <c r="B47" s="293"/>
      <c r="C47" s="293"/>
      <c r="D47" s="293"/>
      <c r="E47" s="293"/>
      <c r="F47" s="293"/>
      <c r="G47" s="293"/>
      <c r="H47" s="293"/>
      <c r="I47" s="293"/>
      <c r="J47" s="11"/>
      <c r="K47" s="10"/>
      <c r="L47" s="6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/>
      <c r="AP47" s="60"/>
      <c r="AQ47" s="11"/>
      <c r="AR47" s="62"/>
    </row>
    <row r="48" spans="1:44">
      <c r="A48" s="292"/>
      <c r="B48" s="292"/>
      <c r="C48" s="292"/>
      <c r="D48" s="292"/>
      <c r="E48" s="292"/>
      <c r="F48" s="292"/>
      <c r="G48" s="292"/>
      <c r="H48" s="292"/>
      <c r="I48" s="292"/>
      <c r="J48" s="11"/>
      <c r="K48" s="10"/>
      <c r="L48" s="60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/>
      <c r="AP48" s="60"/>
      <c r="AQ48" s="11"/>
      <c r="AR48" s="62"/>
    </row>
    <row r="49" spans="1:46">
      <c r="A49" s="293"/>
      <c r="B49" s="293"/>
      <c r="C49" s="293"/>
      <c r="D49" s="293"/>
      <c r="E49" s="293"/>
      <c r="F49" s="293"/>
      <c r="G49" s="293"/>
      <c r="H49" s="293"/>
      <c r="I49" s="293"/>
      <c r="J49" s="11"/>
      <c r="K49" s="10"/>
      <c r="L49" s="6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/>
      <c r="AP49" s="60"/>
      <c r="AQ49" s="11"/>
      <c r="AR49" s="62"/>
    </row>
    <row r="50" spans="1:46">
      <c r="A50" s="51"/>
      <c r="E50" s="2"/>
      <c r="F50" s="12"/>
      <c r="G50" s="12"/>
      <c r="H50" s="12"/>
      <c r="I50" s="12"/>
      <c r="J50" s="5">
        <f>COUNTA(J6:J49)*0.5</f>
        <v>15</v>
      </c>
      <c r="K50" s="5"/>
      <c r="L50" s="5">
        <f t="shared" ref="L50:AM50" si="2">COUNTA(L6:L49)*0.5</f>
        <v>12</v>
      </c>
      <c r="M50" s="5">
        <f t="shared" si="2"/>
        <v>12.5</v>
      </c>
      <c r="N50" s="5">
        <f t="shared" si="2"/>
        <v>14</v>
      </c>
      <c r="O50" s="5">
        <f t="shared" si="2"/>
        <v>14</v>
      </c>
      <c r="P50" s="5">
        <f t="shared" si="2"/>
        <v>15</v>
      </c>
      <c r="Q50" s="5">
        <f t="shared" si="2"/>
        <v>15</v>
      </c>
      <c r="R50" s="5">
        <f t="shared" si="2"/>
        <v>15</v>
      </c>
      <c r="S50" s="5">
        <f t="shared" si="2"/>
        <v>11</v>
      </c>
      <c r="T50" s="5">
        <f t="shared" si="2"/>
        <v>7</v>
      </c>
      <c r="U50" s="5">
        <f t="shared" si="2"/>
        <v>5</v>
      </c>
      <c r="V50" s="5">
        <f t="shared" si="2"/>
        <v>15</v>
      </c>
      <c r="W50" s="5">
        <f t="shared" si="2"/>
        <v>15</v>
      </c>
      <c r="X50" s="5">
        <f t="shared" si="2"/>
        <v>3</v>
      </c>
      <c r="Y50" s="5">
        <f t="shared" si="2"/>
        <v>3</v>
      </c>
      <c r="Z50" s="5">
        <f t="shared" si="2"/>
        <v>3</v>
      </c>
      <c r="AA50" s="5">
        <f t="shared" si="2"/>
        <v>3</v>
      </c>
      <c r="AB50" s="5">
        <f t="shared" si="2"/>
        <v>1</v>
      </c>
      <c r="AC50" s="5">
        <f t="shared" si="2"/>
        <v>15</v>
      </c>
      <c r="AD50" s="5">
        <f t="shared" si="2"/>
        <v>15</v>
      </c>
      <c r="AE50" s="5">
        <f t="shared" si="2"/>
        <v>1</v>
      </c>
      <c r="AF50" s="5">
        <f t="shared" si="2"/>
        <v>0</v>
      </c>
      <c r="AG50" s="5">
        <f t="shared" si="2"/>
        <v>0</v>
      </c>
      <c r="AH50" s="5">
        <f t="shared" si="2"/>
        <v>0</v>
      </c>
      <c r="AI50" s="5">
        <f t="shared" si="2"/>
        <v>0</v>
      </c>
      <c r="AJ50" s="5">
        <f t="shared" si="2"/>
        <v>15</v>
      </c>
      <c r="AK50" s="5">
        <f t="shared" si="2"/>
        <v>15</v>
      </c>
      <c r="AL50" s="5">
        <f t="shared" si="2"/>
        <v>0</v>
      </c>
      <c r="AM50" s="5">
        <f t="shared" si="2"/>
        <v>0</v>
      </c>
      <c r="AN50" s="5"/>
      <c r="AO50" s="5">
        <f>COUNTA(AO6:AO49)*0.5</f>
        <v>0</v>
      </c>
      <c r="AP50" s="5">
        <f>COUNTA(AP6:AP49)*0.5</f>
        <v>0</v>
      </c>
      <c r="AQ50" s="5">
        <f>COUNTA(AQ6:AQ49)*0.5</f>
        <v>0</v>
      </c>
      <c r="AR50" s="5"/>
    </row>
    <row r="51" spans="1:46" ht="15" hidden="1" customHeight="1"/>
    <row r="52" spans="1:46" hidden="1"/>
    <row r="53" spans="1:46" hidden="1">
      <c r="B53" s="301"/>
      <c r="C53" s="301"/>
      <c r="D53" s="301"/>
      <c r="E53" s="301"/>
      <c r="F53" s="301"/>
    </row>
    <row r="54" spans="1:46">
      <c r="I54" s="6" t="s">
        <v>14</v>
      </c>
      <c r="J54" s="45" t="s">
        <v>47</v>
      </c>
      <c r="K54" s="45"/>
      <c r="L54" s="24" t="s">
        <v>17</v>
      </c>
      <c r="M54" s="23" t="s">
        <v>19</v>
      </c>
      <c r="N54" s="14" t="s">
        <v>21</v>
      </c>
      <c r="O54" s="26" t="s">
        <v>26</v>
      </c>
      <c r="P54" s="15" t="s">
        <v>16</v>
      </c>
      <c r="Q54" s="16" t="s">
        <v>23</v>
      </c>
      <c r="R54" s="22" t="s">
        <v>8</v>
      </c>
      <c r="S54" s="3"/>
      <c r="T54" s="17" t="s">
        <v>24</v>
      </c>
      <c r="U54" s="36" t="s">
        <v>36</v>
      </c>
      <c r="W54" s="38" t="s">
        <v>13</v>
      </c>
      <c r="X54" s="38"/>
      <c r="Y54" s="38"/>
      <c r="Z54" s="46" t="s">
        <v>37</v>
      </c>
      <c r="AB54" s="50" t="s">
        <v>49</v>
      </c>
      <c r="AC54" s="3"/>
      <c r="AD54" s="48" t="s">
        <v>50</v>
      </c>
      <c r="AE54" s="15" t="s">
        <v>16</v>
      </c>
      <c r="AF54" s="28" t="s">
        <v>9</v>
      </c>
      <c r="AG54" s="17" t="s">
        <v>22</v>
      </c>
      <c r="AH54" s="16" t="s">
        <v>23</v>
      </c>
      <c r="AI54" s="3"/>
      <c r="AJ54" s="41" t="s">
        <v>41</v>
      </c>
      <c r="AK54" s="66" t="s">
        <v>37</v>
      </c>
      <c r="AL54" s="3"/>
      <c r="AM54" s="3"/>
      <c r="AN54" s="3"/>
      <c r="AO54" s="3"/>
      <c r="AP54" s="3"/>
      <c r="AQ54" s="3"/>
      <c r="AR54" s="3"/>
    </row>
    <row r="55" spans="1:46">
      <c r="I55" s="6"/>
      <c r="J55" s="25" t="s">
        <v>15</v>
      </c>
      <c r="K55" s="25"/>
      <c r="L55" s="28" t="s">
        <v>18</v>
      </c>
      <c r="M55" s="27" t="s">
        <v>20</v>
      </c>
      <c r="N55" s="19" t="s">
        <v>25</v>
      </c>
      <c r="O55" s="29" t="s">
        <v>27</v>
      </c>
      <c r="P55" s="20" t="s">
        <v>13</v>
      </c>
      <c r="Q55" s="21" t="s">
        <v>39</v>
      </c>
      <c r="R55" s="22"/>
      <c r="T55" s="17" t="s">
        <v>22</v>
      </c>
      <c r="U55" s="37" t="s">
        <v>38</v>
      </c>
      <c r="Z55" s="46" t="s">
        <v>42</v>
      </c>
      <c r="AB55" s="50" t="s">
        <v>22</v>
      </c>
      <c r="AC55" s="3"/>
      <c r="AD55" s="48" t="s">
        <v>52</v>
      </c>
      <c r="AE55" s="20" t="s">
        <v>13</v>
      </c>
      <c r="AF55" s="25" t="s">
        <v>15</v>
      </c>
      <c r="AG55" s="17" t="s">
        <v>22</v>
      </c>
      <c r="AH55" s="49" t="s">
        <v>51</v>
      </c>
      <c r="AI55" s="3"/>
      <c r="AJ55" s="41" t="s">
        <v>41</v>
      </c>
      <c r="AK55" s="66"/>
      <c r="AL55" s="3"/>
      <c r="AM55" s="3"/>
      <c r="AN55" s="3"/>
      <c r="AO55" s="3"/>
      <c r="AP55" s="3"/>
      <c r="AQ55" s="3"/>
      <c r="AR55" s="3"/>
    </row>
    <row r="56" spans="1:46" hidden="1">
      <c r="I56" s="6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6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93" t="s">
        <v>220</v>
      </c>
      <c r="Z57" s="93"/>
      <c r="AA57" s="93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6">
      <c r="J58" s="9">
        <v>16</v>
      </c>
      <c r="K58" s="56">
        <f t="shared" ref="K58" si="3">J58+1</f>
        <v>17</v>
      </c>
      <c r="L58" s="57">
        <f t="shared" ref="L58" si="4">K58+1</f>
        <v>18</v>
      </c>
      <c r="M58" s="9">
        <f t="shared" ref="M58" si="5">L58+1</f>
        <v>19</v>
      </c>
      <c r="N58" s="9">
        <f t="shared" ref="N58" si="6">M58+1</f>
        <v>20</v>
      </c>
      <c r="O58" s="9">
        <f t="shared" ref="O58" si="7">N58+1</f>
        <v>21</v>
      </c>
      <c r="P58" s="9">
        <f t="shared" ref="P58" si="8">O58+1</f>
        <v>22</v>
      </c>
      <c r="Q58" s="9">
        <f t="shared" ref="Q58" si="9">P58+1</f>
        <v>23</v>
      </c>
      <c r="R58" s="9">
        <f t="shared" ref="R58" si="10">Q58+1</f>
        <v>24</v>
      </c>
      <c r="S58" s="9">
        <f t="shared" ref="S58" si="11">R58+1</f>
        <v>25</v>
      </c>
      <c r="T58" s="9">
        <f t="shared" ref="T58" si="12">S58+1</f>
        <v>26</v>
      </c>
      <c r="U58" s="9">
        <f t="shared" ref="U58" si="13">T58+1</f>
        <v>27</v>
      </c>
      <c r="V58" s="9">
        <f t="shared" ref="V58" si="14">U58+1</f>
        <v>28</v>
      </c>
      <c r="W58" s="9">
        <f t="shared" ref="W58" si="15">V58+1</f>
        <v>29</v>
      </c>
      <c r="X58" s="9">
        <f t="shared" ref="X58" si="16">W58+1</f>
        <v>30</v>
      </c>
      <c r="Y58" s="9">
        <v>1</v>
      </c>
      <c r="Z58" s="9">
        <f t="shared" ref="Z58" si="17">Y58+1</f>
        <v>2</v>
      </c>
      <c r="AA58" s="9">
        <f t="shared" ref="AA58" si="18">Z58+1</f>
        <v>3</v>
      </c>
      <c r="AB58" s="9">
        <f t="shared" ref="AB58" si="19">AA58+1</f>
        <v>4</v>
      </c>
      <c r="AC58" s="9">
        <f t="shared" ref="AC58" si="20">AB58+1</f>
        <v>5</v>
      </c>
      <c r="AD58" s="9">
        <f t="shared" ref="AD58" si="21">AC58+1</f>
        <v>6</v>
      </c>
      <c r="AE58" s="9">
        <f t="shared" ref="AE58" si="22">AD58+1</f>
        <v>7</v>
      </c>
      <c r="AF58" s="9">
        <f t="shared" ref="AF58" si="23">AE58+1</f>
        <v>8</v>
      </c>
      <c r="AG58" s="9">
        <f t="shared" ref="AG58" si="24">AF58+1</f>
        <v>9</v>
      </c>
      <c r="AH58" s="9">
        <f t="shared" ref="AH58" si="25">AG58+1</f>
        <v>10</v>
      </c>
      <c r="AI58" s="9">
        <f t="shared" ref="AI58" si="26">AH58+1</f>
        <v>11</v>
      </c>
      <c r="AJ58" s="9">
        <f t="shared" ref="AJ58" si="27">AI58+1</f>
        <v>12</v>
      </c>
      <c r="AK58" s="9">
        <f t="shared" ref="AK58" si="28">AJ58+1</f>
        <v>13</v>
      </c>
      <c r="AL58" s="9">
        <f t="shared" ref="AL58" si="29">AK58+1</f>
        <v>14</v>
      </c>
      <c r="AM58" s="9">
        <f t="shared" ref="AM58" si="30">AL58+1</f>
        <v>15</v>
      </c>
      <c r="AN58" s="9">
        <f t="shared" ref="AN58" si="31">AM58+1</f>
        <v>16</v>
      </c>
      <c r="AO58" s="177">
        <f t="shared" ref="AO58" si="32">AN58+1</f>
        <v>17</v>
      </c>
      <c r="AP58" s="57">
        <f t="shared" ref="AP58" si="33">AO58+1</f>
        <v>18</v>
      </c>
      <c r="AQ58" s="9">
        <f t="shared" ref="AQ58" si="34">AP58+1</f>
        <v>19</v>
      </c>
      <c r="AR58" s="9">
        <f t="shared" ref="AR58" si="35">AQ58+1</f>
        <v>20</v>
      </c>
    </row>
    <row r="59" spans="1:46">
      <c r="J59" s="30" t="s">
        <v>31</v>
      </c>
      <c r="K59" s="58" t="s">
        <v>32</v>
      </c>
      <c r="L59" s="153" t="s">
        <v>33</v>
      </c>
      <c r="M59" s="68" t="s">
        <v>34</v>
      </c>
      <c r="N59" s="31" t="s">
        <v>28</v>
      </c>
      <c r="O59" s="124" t="s">
        <v>29</v>
      </c>
      <c r="P59" s="30" t="s">
        <v>30</v>
      </c>
      <c r="Q59" s="30" t="s">
        <v>31</v>
      </c>
      <c r="R59" s="30" t="s">
        <v>32</v>
      </c>
      <c r="S59" s="68" t="s">
        <v>33</v>
      </c>
      <c r="T59" s="68" t="s">
        <v>34</v>
      </c>
      <c r="U59" s="31" t="s">
        <v>28</v>
      </c>
      <c r="V59" s="124" t="s">
        <v>29</v>
      </c>
      <c r="W59" s="30" t="s">
        <v>30</v>
      </c>
      <c r="X59" s="30" t="s">
        <v>31</v>
      </c>
      <c r="Y59" s="30" t="s">
        <v>32</v>
      </c>
      <c r="Z59" s="68" t="s">
        <v>33</v>
      </c>
      <c r="AA59" s="68" t="s">
        <v>34</v>
      </c>
      <c r="AB59" s="31" t="s">
        <v>28</v>
      </c>
      <c r="AC59" s="124" t="s">
        <v>29</v>
      </c>
      <c r="AD59" s="30" t="s">
        <v>30</v>
      </c>
      <c r="AE59" s="30" t="s">
        <v>31</v>
      </c>
      <c r="AF59" s="30" t="s">
        <v>32</v>
      </c>
      <c r="AG59" s="68" t="s">
        <v>33</v>
      </c>
      <c r="AH59" s="68" t="s">
        <v>34</v>
      </c>
      <c r="AI59" s="31" t="s">
        <v>28</v>
      </c>
      <c r="AJ59" s="124" t="s">
        <v>29</v>
      </c>
      <c r="AK59" s="30" t="s">
        <v>30</v>
      </c>
      <c r="AL59" s="30" t="s">
        <v>31</v>
      </c>
      <c r="AM59" s="30" t="s">
        <v>32</v>
      </c>
      <c r="AN59" s="68" t="s">
        <v>33</v>
      </c>
      <c r="AO59" s="180" t="s">
        <v>34</v>
      </c>
      <c r="AP59" s="73" t="s">
        <v>28</v>
      </c>
      <c r="AQ59" s="124" t="s">
        <v>29</v>
      </c>
      <c r="AR59" s="124" t="s">
        <v>188</v>
      </c>
    </row>
    <row r="60" spans="1:46" ht="18" customHeight="1" thickBot="1">
      <c r="A60" s="302" t="s">
        <v>10</v>
      </c>
      <c r="B60" s="302"/>
      <c r="C60" s="302"/>
      <c r="D60" s="302"/>
      <c r="E60" s="302"/>
      <c r="F60" s="302"/>
      <c r="H60" s="339" t="s">
        <v>189</v>
      </c>
      <c r="I60" s="304"/>
      <c r="J60" s="62"/>
      <c r="K60" s="175"/>
      <c r="L60" s="60"/>
      <c r="M60" s="11"/>
      <c r="N60" s="11"/>
      <c r="O60" s="11"/>
      <c r="P60" s="11"/>
      <c r="Q60" s="11"/>
      <c r="R60" s="11"/>
      <c r="S60" s="39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61"/>
      <c r="AP60" s="60"/>
      <c r="AQ60" s="62"/>
      <c r="AR60" s="62"/>
      <c r="AS60" s="52"/>
    </row>
    <row r="61" spans="1:46" ht="18" customHeight="1" thickTop="1" thickBot="1">
      <c r="A61" s="302"/>
      <c r="B61" s="302"/>
      <c r="C61" s="302"/>
      <c r="D61" s="302"/>
      <c r="E61" s="302"/>
      <c r="F61" s="302"/>
      <c r="H61" s="305"/>
      <c r="I61" s="306"/>
      <c r="J61" s="62"/>
      <c r="K61" s="176"/>
      <c r="L61" s="96"/>
      <c r="M61" s="80"/>
      <c r="N61" s="80"/>
      <c r="O61" s="80"/>
      <c r="P61" s="80"/>
      <c r="Q61" s="80"/>
      <c r="R61" s="80"/>
      <c r="S61" s="39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5"/>
      <c r="AP61" s="96"/>
      <c r="AQ61" s="97"/>
      <c r="AR61" s="97"/>
    </row>
    <row r="62" spans="1:46" ht="18" customHeight="1" thickTop="1" thickBot="1">
      <c r="A62" s="302"/>
      <c r="B62" s="302"/>
      <c r="C62" s="302"/>
      <c r="D62" s="302"/>
      <c r="E62" s="302"/>
      <c r="F62" s="302"/>
      <c r="H62" s="305" t="s">
        <v>57</v>
      </c>
      <c r="I62" s="306"/>
      <c r="J62" s="181" t="s">
        <v>56</v>
      </c>
      <c r="K62" s="78"/>
      <c r="L62" s="78"/>
      <c r="M62" s="99" t="s">
        <v>11</v>
      </c>
      <c r="N62" s="78"/>
      <c r="O62" s="78"/>
      <c r="P62" s="78"/>
      <c r="Q62" s="78"/>
      <c r="R62" s="78"/>
      <c r="S62" s="78" t="s">
        <v>11</v>
      </c>
      <c r="T62" s="78" t="s">
        <v>11</v>
      </c>
      <c r="U62" s="78"/>
      <c r="V62" s="78"/>
      <c r="W62" s="78"/>
      <c r="X62" s="181" t="s">
        <v>56</v>
      </c>
      <c r="Y62" s="78"/>
      <c r="Z62" s="78" t="s">
        <v>11</v>
      </c>
      <c r="AA62" s="78" t="s">
        <v>11</v>
      </c>
      <c r="AB62" s="78"/>
      <c r="AC62" s="78"/>
      <c r="AD62" s="78"/>
      <c r="AE62" s="78"/>
      <c r="AF62" s="78"/>
      <c r="AG62" s="78" t="s">
        <v>11</v>
      </c>
      <c r="AH62" s="78" t="s">
        <v>11</v>
      </c>
      <c r="AI62" s="91"/>
      <c r="AJ62" s="78"/>
      <c r="AK62" s="78"/>
      <c r="AL62" s="78"/>
      <c r="AM62" s="181" t="s">
        <v>56</v>
      </c>
      <c r="AN62" s="78" t="s">
        <v>11</v>
      </c>
      <c r="AO62" s="78" t="s">
        <v>11</v>
      </c>
      <c r="AP62" s="78"/>
      <c r="AQ62" s="78"/>
      <c r="AR62" s="78"/>
      <c r="AS62" s="54"/>
      <c r="AT62" s="52"/>
    </row>
    <row r="63" spans="1:46" ht="18" customHeight="1" thickTop="1">
      <c r="A63" s="302"/>
      <c r="B63" s="302"/>
      <c r="C63" s="302"/>
      <c r="D63" s="302"/>
      <c r="E63" s="302"/>
      <c r="F63" s="302"/>
      <c r="H63" s="307"/>
      <c r="I63" s="308"/>
      <c r="J63" s="64" t="s">
        <v>213</v>
      </c>
      <c r="K63" s="107"/>
      <c r="L63" s="11"/>
      <c r="M63" s="11"/>
      <c r="N63" s="11"/>
      <c r="O63" s="64"/>
      <c r="P63" s="107"/>
      <c r="Q63" s="11"/>
      <c r="R63" s="11"/>
      <c r="S63" s="11"/>
      <c r="T63" s="11"/>
      <c r="U63" s="11"/>
      <c r="V63" s="11"/>
      <c r="W63" s="11"/>
      <c r="X63" s="64" t="s">
        <v>211</v>
      </c>
      <c r="Y63" s="11"/>
      <c r="Z63" s="11"/>
      <c r="AA63" s="11"/>
      <c r="AB63" s="64"/>
      <c r="AC63" s="107"/>
      <c r="AD63" s="11"/>
      <c r="AE63" s="11"/>
      <c r="AF63" s="11"/>
      <c r="AG63" s="11"/>
      <c r="AH63" s="61"/>
      <c r="AI63" s="60"/>
      <c r="AJ63" s="11"/>
      <c r="AK63" s="11"/>
      <c r="AL63" s="11"/>
      <c r="AM63" s="64" t="s">
        <v>212</v>
      </c>
      <c r="AN63" s="107"/>
      <c r="AO63" s="11"/>
      <c r="AP63" s="11"/>
      <c r="AQ63" s="135"/>
      <c r="AR63" s="135"/>
      <c r="AS63" s="137"/>
    </row>
    <row r="64" spans="1:46" ht="18" customHeight="1">
      <c r="H64" s="309"/>
      <c r="I64" s="3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61"/>
      <c r="AI64" s="60"/>
      <c r="AJ64" s="11"/>
      <c r="AK64" s="11"/>
      <c r="AL64" s="11"/>
      <c r="AM64" s="11"/>
      <c r="AN64" s="11"/>
      <c r="AO64" s="11"/>
      <c r="AP64" s="11"/>
      <c r="AQ64" s="62"/>
      <c r="AR64" s="62"/>
    </row>
    <row r="65" spans="8:44" ht="18" customHeight="1" thickBot="1">
      <c r="H65" s="311"/>
      <c r="I65" s="312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172"/>
      <c r="AD65" s="80"/>
      <c r="AE65" s="80"/>
      <c r="AF65" s="80"/>
      <c r="AG65" s="80"/>
      <c r="AH65" s="85"/>
      <c r="AI65" s="96"/>
      <c r="AJ65" s="80"/>
      <c r="AK65" s="80"/>
      <c r="AL65" s="80"/>
      <c r="AM65" s="80"/>
      <c r="AN65" s="80"/>
      <c r="AO65" s="80"/>
      <c r="AP65" s="80"/>
      <c r="AQ65" s="97"/>
      <c r="AR65" s="97"/>
    </row>
    <row r="66" spans="8:44" ht="18" customHeight="1" thickTop="1">
      <c r="H66" s="300" t="s">
        <v>183</v>
      </c>
      <c r="I66" s="300"/>
      <c r="J66" s="84"/>
      <c r="K66" s="84"/>
      <c r="L66" s="91"/>
      <c r="M66" s="84"/>
      <c r="N66" s="78"/>
      <c r="O66" s="78"/>
      <c r="P66" s="78"/>
      <c r="Q66" s="78"/>
      <c r="R66" s="78"/>
      <c r="S66" s="78"/>
      <c r="T66" s="78"/>
      <c r="U66" s="78"/>
      <c r="V66" s="11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9"/>
      <c r="AP66" s="91"/>
      <c r="AQ66" s="78"/>
      <c r="AR66" s="78"/>
    </row>
    <row r="67" spans="8:44" ht="18" customHeight="1">
      <c r="H67" s="300"/>
      <c r="I67" s="300"/>
      <c r="J67" s="39"/>
      <c r="K67" s="39"/>
      <c r="L67" s="60"/>
      <c r="M67" s="3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61"/>
      <c r="AP67" s="60"/>
      <c r="AQ67" s="62"/>
      <c r="AR67" s="62"/>
    </row>
    <row r="68" spans="8:44" ht="18" customHeight="1">
      <c r="H68" s="341" t="s">
        <v>184</v>
      </c>
      <c r="I68" s="341"/>
      <c r="J68" s="11"/>
      <c r="K68" s="10"/>
      <c r="L68" s="60"/>
      <c r="M68" s="11"/>
      <c r="N68" s="11"/>
      <c r="O68" s="166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61"/>
      <c r="AP68" s="60"/>
      <c r="AQ68" s="62"/>
      <c r="AR68" s="62"/>
    </row>
    <row r="69" spans="8:44" ht="18" customHeight="1">
      <c r="H69" s="341"/>
      <c r="I69" s="341"/>
      <c r="J69" s="11"/>
      <c r="K69" s="10"/>
      <c r="L69" s="168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1"/>
      <c r="AK69" s="11"/>
      <c r="AL69" s="11"/>
      <c r="AM69" s="11"/>
      <c r="AN69" s="11"/>
      <c r="AO69" s="61"/>
      <c r="AP69" s="60"/>
      <c r="AQ69" s="62"/>
      <c r="AR69" s="62"/>
    </row>
  </sheetData>
  <mergeCells count="218">
    <mergeCell ref="I4:I5"/>
    <mergeCell ref="A1:AQ1"/>
    <mergeCell ref="AO2:AQ2"/>
    <mergeCell ref="A4:A5"/>
    <mergeCell ref="B4:B5"/>
    <mergeCell ref="C4:C5"/>
    <mergeCell ref="D4:D5"/>
    <mergeCell ref="E4:E5"/>
    <mergeCell ref="F4:F5"/>
    <mergeCell ref="G4:G5"/>
    <mergeCell ref="H4:H5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H6:H7"/>
    <mergeCell ref="I6:I7"/>
    <mergeCell ref="A8:A9"/>
    <mergeCell ref="B8:B9"/>
    <mergeCell ref="C8:C9"/>
    <mergeCell ref="D8:D9"/>
    <mergeCell ref="E8:E9"/>
    <mergeCell ref="F8:F9"/>
    <mergeCell ref="G8:G9"/>
    <mergeCell ref="H8:H9"/>
    <mergeCell ref="A6:A7"/>
    <mergeCell ref="B6:B7"/>
    <mergeCell ref="C6:C7"/>
    <mergeCell ref="D6:D7"/>
    <mergeCell ref="E6:E7"/>
    <mergeCell ref="F6:F7"/>
    <mergeCell ref="G6:G7"/>
    <mergeCell ref="I8:I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G12:G13"/>
    <mergeCell ref="H12:H13"/>
    <mergeCell ref="I12:I13"/>
    <mergeCell ref="A14:A15"/>
    <mergeCell ref="B14:B15"/>
    <mergeCell ref="C14:C15"/>
    <mergeCell ref="D14:D15"/>
    <mergeCell ref="E14:E15"/>
    <mergeCell ref="F14:F15"/>
    <mergeCell ref="G14:G15"/>
    <mergeCell ref="A12:A13"/>
    <mergeCell ref="B12:B13"/>
    <mergeCell ref="C12:C13"/>
    <mergeCell ref="D12:D13"/>
    <mergeCell ref="E12:E13"/>
    <mergeCell ref="F12:F13"/>
    <mergeCell ref="H14:H15"/>
    <mergeCell ref="I14:I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G20:G21"/>
    <mergeCell ref="H20:H21"/>
    <mergeCell ref="I20:I21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20:F21"/>
    <mergeCell ref="H22:H23"/>
    <mergeCell ref="I22:I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G28:G29"/>
    <mergeCell ref="H28:H29"/>
    <mergeCell ref="I28:I29"/>
    <mergeCell ref="A30:A31"/>
    <mergeCell ref="B30:B31"/>
    <mergeCell ref="C30:C31"/>
    <mergeCell ref="D30:D31"/>
    <mergeCell ref="E30:E31"/>
    <mergeCell ref="F30:F31"/>
    <mergeCell ref="G30:G31"/>
    <mergeCell ref="A28:A29"/>
    <mergeCell ref="B28:B29"/>
    <mergeCell ref="C28:C29"/>
    <mergeCell ref="D28:D29"/>
    <mergeCell ref="E28:E29"/>
    <mergeCell ref="F28:F29"/>
    <mergeCell ref="H30:H31"/>
    <mergeCell ref="I30:I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M34:N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G40:G41"/>
    <mergeCell ref="H40:H41"/>
    <mergeCell ref="I40:I41"/>
    <mergeCell ref="A40:A41"/>
    <mergeCell ref="B40:B41"/>
    <mergeCell ref="C40:C41"/>
    <mergeCell ref="D40:D41"/>
    <mergeCell ref="E40:E41"/>
    <mergeCell ref="F40:F41"/>
    <mergeCell ref="H46:H47"/>
    <mergeCell ref="H66:I67"/>
    <mergeCell ref="G42:G43"/>
    <mergeCell ref="H42:H43"/>
    <mergeCell ref="I42:I43"/>
    <mergeCell ref="A44:A45"/>
    <mergeCell ref="B44:B45"/>
    <mergeCell ref="C44:C45"/>
    <mergeCell ref="D44:D45"/>
    <mergeCell ref="E44:E45"/>
    <mergeCell ref="F44:F45"/>
    <mergeCell ref="G44:G45"/>
    <mergeCell ref="A42:A43"/>
    <mergeCell ref="B42:B43"/>
    <mergeCell ref="C42:C43"/>
    <mergeCell ref="D42:D43"/>
    <mergeCell ref="E42:E43"/>
    <mergeCell ref="F42:F43"/>
    <mergeCell ref="H44:H45"/>
    <mergeCell ref="I44:I45"/>
    <mergeCell ref="H68:I69"/>
    <mergeCell ref="B53:D53"/>
    <mergeCell ref="E53:F53"/>
    <mergeCell ref="A60:F63"/>
    <mergeCell ref="H60:I61"/>
    <mergeCell ref="H62:I63"/>
    <mergeCell ref="H64:I65"/>
    <mergeCell ref="I46:I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A46:A47"/>
    <mergeCell ref="B46:B47"/>
    <mergeCell ref="C46:C47"/>
    <mergeCell ref="D46:D47"/>
    <mergeCell ref="E46:E47"/>
    <mergeCell ref="F46:F47"/>
    <mergeCell ref="G46:G47"/>
  </mergeCells>
  <phoneticPr fontId="3"/>
  <printOptions horizontalCentered="1"/>
  <pageMargins left="0.31496062992125984" right="0.31496062992125984" top="0.74803149606299213" bottom="0.74803149606299213" header="0.31496062992125984" footer="0.31496062992125984"/>
  <pageSetup paperSize="8" scale="7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7"/>
  <dimension ref="B3:B14"/>
  <sheetViews>
    <sheetView workbookViewId="0"/>
  </sheetViews>
  <sheetFormatPr defaultRowHeight="18"/>
  <sheetData>
    <row r="3" spans="2:2">
      <c r="B3" s="55" t="s">
        <v>61</v>
      </c>
    </row>
    <row r="4" spans="2:2">
      <c r="B4" s="55" t="s">
        <v>60</v>
      </c>
    </row>
    <row r="5" spans="2:2">
      <c r="B5" s="55" t="s">
        <v>69</v>
      </c>
    </row>
    <row r="6" spans="2:2">
      <c r="B6" s="55" t="s">
        <v>59</v>
      </c>
    </row>
    <row r="7" spans="2:2">
      <c r="B7" s="55" t="s">
        <v>62</v>
      </c>
    </row>
    <row r="8" spans="2:2">
      <c r="B8" s="55" t="s">
        <v>63</v>
      </c>
    </row>
    <row r="9" spans="2:2">
      <c r="B9" s="55" t="s">
        <v>103</v>
      </c>
    </row>
    <row r="10" spans="2:2">
      <c r="B10" s="55" t="s">
        <v>64</v>
      </c>
    </row>
    <row r="11" spans="2:2">
      <c r="B11" s="55" t="s">
        <v>65</v>
      </c>
    </row>
    <row r="12" spans="2:2">
      <c r="B12" s="55" t="s">
        <v>68</v>
      </c>
    </row>
    <row r="13" spans="2:2">
      <c r="B13" s="55" t="s">
        <v>66</v>
      </c>
    </row>
    <row r="14" spans="2:2">
      <c r="B14" s="55" t="s">
        <v>67</v>
      </c>
    </row>
  </sheetData>
  <phoneticPr fontId="3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2026.03月度</vt:lpstr>
      <vt:lpstr>2026.04月度</vt:lpstr>
      <vt:lpstr>2026.05月度</vt:lpstr>
      <vt:lpstr>2026.06月度</vt:lpstr>
      <vt:lpstr>2026.07月度</vt:lpstr>
      <vt:lpstr>Sheet1</vt:lpstr>
      <vt:lpstr>'2026.03月度'!Print_Area</vt:lpstr>
      <vt:lpstr>'2026.04月度'!Print_Area</vt:lpstr>
      <vt:lpstr>'2026.05月度'!Print_Area</vt:lpstr>
      <vt:lpstr>'2026.06月度'!Print_Area</vt:lpstr>
      <vt:lpstr>'2026.07月度'!Print_Area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国際自動車株式会社(城北) 板橋営業所 石井元行</dc:creator>
  <cp:lastModifiedBy>星莉斗 板橋営業所 国際自動車株式会社(T2)</cp:lastModifiedBy>
  <cp:lastPrinted>2026-06-02T07:22:17Z</cp:lastPrinted>
  <dcterms:created xsi:type="dcterms:W3CDTF">2022-02-28T08:47:51Z</dcterms:created>
  <dcterms:modified xsi:type="dcterms:W3CDTF">2026-06-04T05:09:05Z</dcterms:modified>
</cp:coreProperties>
</file>